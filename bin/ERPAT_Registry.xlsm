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Jay Ramirez\Desktop\erpat mswd_0.0.8 - forgithub\bin\"/>
    </mc:Choice>
  </mc:AlternateContent>
  <bookViews>
    <workbookView showHorizontalScroll="0" xWindow="-120" yWindow="-120" windowWidth="20730" windowHeight="11040" activeTab="4"/>
  </bookViews>
  <sheets>
    <sheet name="Sheet1" sheetId="1" r:id="rId1"/>
    <sheet name="PRINT_FRONT" sheetId="3" r:id="rId2"/>
    <sheet name="PRINT_BACK" sheetId="4" r:id="rId3"/>
    <sheet name="Dashboard_Engine" sheetId="7" r:id="rId4"/>
    <sheet name="DASHBOARD" sheetId="8" r:id="rId5"/>
    <sheet name="Lists" sheetId="2" state="hidden" r:id="rId6"/>
  </sheets>
  <functionGroups builtInGroupCount="18"/>
  <definedNames>
    <definedName name="_xlpm.data" hidden="1" xlm="1">#NAME?</definedName>
    <definedName name="_xlpm.filtered" hidden="1" xlm="1">#NAME?</definedName>
    <definedName name="_xlpm.grid" hidden="1" xlm="1">#NAME?</definedName>
    <definedName name="_xlpm.id" hidden="1" xlm="1">#NAME?</definedName>
    <definedName name="_xlpm.topTen" hidden="1" xlm="1">#NAME?</definedName>
    <definedName name="_xlnm.Print_Area" localSheetId="2">PRINT_BACK!$A$1:$AE$46</definedName>
    <definedName name="_xlnm.Print_Area" localSheetId="1">PRINT_FRONT!$A$1:$AE$46</definedName>
    <definedName name="rngBarangays">Lists!$A$2:INDEX(Lists!$A:$A,COUNTA(Lists!$A:$A))</definedName>
    <definedName name="Slicer_ADDRESS">#N/A</definedName>
    <definedName name="Slicer_ADDRESS1">#N/A</definedName>
    <definedName name="Slicer_CIVIL_STATUS">#N/A</definedName>
    <definedName name="Slicer_HELPER_MONTH">#N/A</definedName>
    <definedName name="Slicer_HELPER_YEAR">#N/A</definedName>
    <definedName name="Slicer_OCCUPATION">#N/A</definedName>
  </definedNames>
  <calcPr calcId="162913"/>
  <pivotCaches>
    <pivotCache cacheId="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1"/>
        <x14:slicerCache r:id="rId12"/>
        <x14:slicerCache r:id="rId1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4" i="8" l="1"/>
  <c r="H45" i="8"/>
  <c r="H46" i="8"/>
  <c r="H40" i="8"/>
  <c r="H41" i="8"/>
  <c r="H42" i="8"/>
  <c r="H43" i="8"/>
  <c r="E37" i="8" a="1"/>
  <c r="E37" i="8" s="1"/>
  <c r="H37" i="8" s="1"/>
  <c r="F6" i="1"/>
  <c r="N6" i="1"/>
  <c r="O6" i="1"/>
  <c r="K7" i="8"/>
  <c r="H7" i="8"/>
  <c r="F5" i="1"/>
  <c r="N5" i="1"/>
  <c r="O5" i="1"/>
  <c r="O4" i="1"/>
  <c r="N4" i="1"/>
  <c r="F4" i="1"/>
  <c r="E7" i="8"/>
  <c r="H39" i="8" l="1"/>
  <c r="H38" i="8"/>
  <c r="G38" i="8"/>
  <c r="F38" i="8"/>
  <c r="E38" i="8"/>
  <c r="G37" i="8"/>
  <c r="F37" i="8"/>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<sst xmlns="http://schemas.openxmlformats.org/spreadsheetml/2006/main" count="123" uniqueCount="95">
  <si>
    <t>ID NO.</t>
  </si>
  <si>
    <t>SURNAME</t>
  </si>
  <si>
    <t>FIRSNAME</t>
  </si>
  <si>
    <t>MIDDLENAME</t>
  </si>
  <si>
    <t>BIRTHDATE</t>
  </si>
  <si>
    <t>DATE ISSUED</t>
  </si>
  <si>
    <t>EMERGENCY CONTACT PERSON</t>
  </si>
  <si>
    <t>CONTACT NO.</t>
  </si>
  <si>
    <t>BARANGAYS</t>
  </si>
  <si>
    <t>Baclaran</t>
  </si>
  <si>
    <t>Calan</t>
  </si>
  <si>
    <t>Caloocan</t>
  </si>
  <si>
    <t>Calzada</t>
  </si>
  <si>
    <t>Canda</t>
  </si>
  <si>
    <t>Carenahan</t>
  </si>
  <si>
    <t>Caybunga</t>
  </si>
  <si>
    <t>Cayponce</t>
  </si>
  <si>
    <t>Dalig</t>
  </si>
  <si>
    <t>Dao</t>
  </si>
  <si>
    <t>Dilao</t>
  </si>
  <si>
    <t>Duhatan</t>
  </si>
  <si>
    <t>Durungao</t>
  </si>
  <si>
    <t>Gimalas</t>
  </si>
  <si>
    <t>Gumamela</t>
  </si>
  <si>
    <t>Lagnas</t>
  </si>
  <si>
    <t>Lanatan</t>
  </si>
  <si>
    <t>Langgangan</t>
  </si>
  <si>
    <t>Lucban Pook</t>
  </si>
  <si>
    <t>Lucban Putol</t>
  </si>
  <si>
    <t>Magabe</t>
  </si>
  <si>
    <t>Malalay</t>
  </si>
  <si>
    <t>Munting Tubig</t>
  </si>
  <si>
    <t>Navotas</t>
  </si>
  <si>
    <t>Palikpikan</t>
  </si>
  <si>
    <t>Patugo</t>
  </si>
  <si>
    <t>Pooc</t>
  </si>
  <si>
    <t>Sambat</t>
  </si>
  <si>
    <t>Sampaga</t>
  </si>
  <si>
    <t>San Juan</t>
  </si>
  <si>
    <t>San Piro</t>
  </si>
  <si>
    <t>Santol</t>
  </si>
  <si>
    <t>Sukol</t>
  </si>
  <si>
    <t>Tactac</t>
  </si>
  <si>
    <t>Taludtud</t>
  </si>
  <si>
    <t>Tanggoy</t>
  </si>
  <si>
    <t>ALDAY</t>
  </si>
  <si>
    <t>ERROL</t>
  </si>
  <si>
    <t>LASHERAS</t>
  </si>
  <si>
    <t>KIAN BAHIA</t>
  </si>
  <si>
    <t>09556622460</t>
  </si>
  <si>
    <t>AGE</t>
  </si>
  <si>
    <t>ERPAT SYSTEM</t>
  </si>
  <si>
    <t>HELPER YEAR</t>
  </si>
  <si>
    <t>HELPER MONTH</t>
  </si>
  <si>
    <t>CIVIL STATUS</t>
  </si>
  <si>
    <t>ADDRESS</t>
  </si>
  <si>
    <t>EMERGENCY CONTACT NO.</t>
  </si>
  <si>
    <t xml:space="preserve"> OCCUPATION</t>
  </si>
  <si>
    <t>SINGLE</t>
  </si>
  <si>
    <t>NONE</t>
  </si>
  <si>
    <t>MARRIED</t>
  </si>
  <si>
    <t>Brgy. 1</t>
  </si>
  <si>
    <t>Brgy. 2</t>
  </si>
  <si>
    <t>Brgy. 3</t>
  </si>
  <si>
    <t>Brgy. 4</t>
  </si>
  <si>
    <t>Brgy. 5</t>
  </si>
  <si>
    <t>Brgy. 6</t>
  </si>
  <si>
    <t>Brgy. 7</t>
  </si>
  <si>
    <t>Brgy. 8</t>
  </si>
  <si>
    <t>Brgy. 9</t>
  </si>
  <si>
    <t>Brgy. 10</t>
  </si>
  <si>
    <t>Brgy. 11</t>
  </si>
  <si>
    <t>Brgy. 12</t>
  </si>
  <si>
    <t>2026-06</t>
  </si>
  <si>
    <t>2026-07</t>
  </si>
  <si>
    <t>ALMARIO</t>
  </si>
  <si>
    <t>RYAN MICAHEL</t>
  </si>
  <si>
    <t>Count of ID NO.</t>
  </si>
  <si>
    <t>Row Labels</t>
  </si>
  <si>
    <t>Grand Total</t>
  </si>
  <si>
    <t>20-29</t>
  </si>
  <si>
    <t>Column Labels</t>
  </si>
  <si>
    <t>Count of EMERGENCY CONTACT NO.</t>
  </si>
  <si>
    <t>BAGONG BALAYAN | ERPAT SYSTEM - MSWD DIAGNOSTIC &amp; AUDIT DASHBOARD</t>
  </si>
  <si>
    <t>SYSTEM FILTERS</t>
  </si>
  <si>
    <t>DATA COMPLETENESS</t>
  </si>
  <si>
    <t>FARMER</t>
  </si>
  <si>
    <t>UNEMPLOYMENT RATE</t>
  </si>
  <si>
    <t>NAME</t>
  </si>
  <si>
    <t>AUDIT STATUS</t>
  </si>
  <si>
    <t>2026-08</t>
  </si>
  <si>
    <t>BAHIA</t>
  </si>
  <si>
    <t>KIAN</t>
  </si>
  <si>
    <t>TOTAL MEMBERS</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</si>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</sst>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3409]mmmm\ dd\,\ yyyy;@"/>
  </numFmts>
  <fonts count="9" x14ac:knownFonts="1">
    <font>
      <sz val="11"/>
      <color theme="1"/>
      <name val="Calibri"/>
      <family val="2"/>
      <scheme val="minor"/>
    </font>
    <font>
      <sz val="11"/>
      <color rgb="FF000000"/>
      <name val="Calibri"/>
      <family val="2"/>
    </font>
    <font>
      <sz val="48"/>
      <color theme="1"/>
      <name val="Arial Black"/>
      <family val="2"/>
    </font>
    <font>
      <sz val="8"/>
      <name val="Calibri"/>
      <family val="2"/>
      <scheme val="minor"/>
    </font>
    <font>
      <b/>
      <sz val="16"/>
      <color theme="0"/>
      <name val="Calibri"/>
      <family val="2"/>
      <scheme val="minor"/>
    </font>
    <font>
      <b/>
      <sz val="10"/>
      <color rgb="FF3B3B3B"/>
      <name val="Segoe UI"/>
      <family val="2"/>
    </font>
    <font>
      <sz val="9"/>
      <color rgb="FF3B3B3B"/>
      <name val="Segoe UI"/>
      <family val="2"/>
    </font>
    <font>
      <b/>
      <sz val="22"/>
      <color theme="1"/>
      <name val="Segoe UI"/>
      <family val="2"/>
    </font>
    <font>
      <sz val="10"/>
      <color theme="0"/>
      <name val="Segoe UI"/>
      <family val="2"/>
    </font>
  </fonts>
  <fills count="6">
    <fill>
      <patternFill patternType="none"/>
    </fill>
    <fill>
      <patternFill patternType="gray125"/>
    </fill>
    <fill>
      <patternFill patternType="solid">
        <fgColor theme="0"/>
        <bgColor indexed="64"/>
      </patternFill>
    </fill>
    <fill>
      <patternFill patternType="solid">
        <fgColor rgb="FF0B2F64"/>
        <bgColor indexed="64"/>
      </patternFill>
    </fill>
    <fill>
      <patternFill patternType="solid">
        <fgColor theme="2" tint="-9.9978637043366805E-2"/>
        <bgColor indexed="64"/>
      </patternFill>
    </fill>
    <fill>
      <patternFill patternType="solid">
        <fgColor rgb="FFF2F2F2"/>
        <bgColor indexed="64"/>
      </patternFill>
    </fill>
  </fills>
  <borders count="1">
    <border>
      <left/>
      <right/>
      <top/>
      <bottom/>
      <diagonal/>
    </border>
  </borders>
  <cellStyleXfs count="1">
    <xf numFmtId="0" fontId="0" fillId="0" borderId="0"/>
  </cellStyleXfs>
  <cellXfs count="21">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49" fontId="0" fillId="0" borderId="0" xfId="0" applyNumberFormat="1"/>
    <xf numFmtId="0" fontId="0" fillId="5" borderId="0" xfId="0" applyFill="1"/>
    <xf numFmtId="0" fontId="8" fillId="3" borderId="0" xfId="0" applyFont="1" applyFill="1" applyAlignment="1">
      <alignment horizontal="center" vertical="center"/>
    </xf>
    <xf numFmtId="0" fontId="8" fillId="3" borderId="0" xfId="0" applyFont="1" applyFill="1" applyAlignment="1">
      <alignment horizontal="left" vertical="center"/>
    </xf>
    <xf numFmtId="0" fontId="0" fillId="0" borderId="0" xfId="0" applyAlignment="1">
      <alignment vertical="center"/>
    </xf>
    <xf numFmtId="0" fontId="0" fillId="2" borderId="0" xfId="0" applyFill="1" applyProtection="1"/>
    <xf numFmtId="49" fontId="0" fillId="2" borderId="0" xfId="0" applyNumberFormat="1" applyFill="1" applyProtection="1"/>
    <xf numFmtId="0" fontId="0" fillId="2" borderId="0" xfId="0" applyFill="1" applyAlignment="1" applyProtection="1">
      <alignment wrapText="1"/>
    </xf>
    <xf numFmtId="164" fontId="0" fillId="2" borderId="0" xfId="0" applyNumberFormat="1" applyFill="1" applyAlignment="1" applyProtection="1">
      <alignment wrapText="1"/>
    </xf>
    <xf numFmtId="49" fontId="0" fillId="2" borderId="0" xfId="0" applyNumberFormat="1" applyFill="1" applyAlignment="1" applyProtection="1">
      <alignment wrapText="1"/>
    </xf>
    <xf numFmtId="0" fontId="2" fillId="2" borderId="0" xfId="0" applyFont="1" applyFill="1" applyAlignment="1" applyProtection="1">
      <alignment horizontal="center" vertical="center"/>
    </xf>
    <xf numFmtId="0" fontId="4" fillId="3" borderId="0" xfId="0" applyFont="1" applyFill="1" applyAlignment="1">
      <alignment horizontal="center" vertical="center"/>
    </xf>
    <xf numFmtId="0" fontId="6" fillId="4" borderId="0" xfId="0" applyFont="1" applyFill="1" applyAlignment="1">
      <alignment horizontal="center" vertical="center"/>
    </xf>
    <xf numFmtId="0" fontId="7" fillId="4" borderId="0" xfId="0" applyFont="1" applyFill="1" applyAlignment="1" applyProtection="1">
      <alignment horizontal="center" vertical="center"/>
      <protection hidden="1"/>
    </xf>
    <xf numFmtId="9" fontId="7" fillId="4" borderId="0" xfId="0" applyNumberFormat="1" applyFont="1" applyFill="1" applyAlignment="1" applyProtection="1">
      <alignment horizontal="center" vertical="center"/>
      <protection hidden="1"/>
    </xf>
    <xf numFmtId="0" fontId="5" fillId="5" borderId="0" xfId="0" applyFont="1" applyFill="1" applyAlignment="1">
      <alignment horizontal="center" vertical="center"/>
    </xf>
  </cellXfs>
  <cellStyles count="1">
    <cellStyle name="Normal" xfId="0" builtinId="0"/>
  </cellStyles>
  <dxfs count="18">
    <dxf>
      <fill>
        <patternFill patternType="solid">
          <fgColor indexed="64"/>
          <bgColor theme="0"/>
        </patternFill>
      </fill>
      <alignment horizontal="general" vertical="bottom" textRotation="0" wrapText="1" indent="0" justifyLastLine="0" shrinkToFit="0" readingOrder="0"/>
      <protection locked="1" hidden="0"/>
    </dxf>
    <dxf>
      <fill>
        <patternFill patternType="solid">
          <fgColor indexed="64"/>
          <bgColor theme="0"/>
        </patternFill>
      </fill>
      <protection locked="1" hidden="0"/>
    </dxf>
    <dxf>
      <numFmt numFmtId="0" formatCode="General"/>
      <fill>
        <patternFill patternType="solid">
          <fgColor indexed="64"/>
          <bgColor theme="0"/>
        </patternFill>
      </fill>
      <alignment horizontal="general" vertical="bottom" textRotation="0" wrapText="1" indent="0" justifyLastLine="0" shrinkToFit="0" readingOrder="0"/>
      <protection locked="1" hidden="0"/>
    </dxf>
    <dxf>
      <numFmt numFmtId="0" formatCode="General"/>
      <fill>
        <patternFill patternType="solid">
          <fgColor indexed="64"/>
          <bgColor theme="0"/>
        </patternFill>
      </fill>
      <alignment horizontal="general" vertical="bottom" textRotation="0" wrapText="1" indent="0" justifyLastLine="0" shrinkToFit="0" readingOrder="0"/>
      <protection locked="1" hidden="0"/>
    </dxf>
    <dxf>
      <numFmt numFmtId="164" formatCode="[$-3409]mmmm\ dd\,\ yyyy;@"/>
      <fill>
        <patternFill patternType="solid">
          <fgColor indexed="64"/>
          <bgColor theme="0"/>
        </patternFill>
      </fill>
      <alignment horizontal="general" vertical="bottom" textRotation="0" wrapText="1" indent="0" justifyLastLine="0" shrinkToFit="0" readingOrder="0"/>
      <protection locked="1" hidden="0"/>
    </dxf>
    <dxf>
      <numFmt numFmtId="30" formatCode="@"/>
      <fill>
        <patternFill patternType="solid">
          <fgColor indexed="64"/>
          <bgColor theme="0"/>
        </patternFill>
      </fill>
      <alignment horizontal="general" vertical="bottom" textRotation="0" wrapText="1" indent="0" justifyLastLine="0" shrinkToFit="0" readingOrder="0"/>
      <protection locked="1" hidden="0"/>
    </dxf>
    <dxf>
      <numFmt numFmtId="30" formatCode="@"/>
      <fill>
        <patternFill patternType="solid">
          <fgColor indexed="64"/>
          <bgColor theme="0"/>
        </patternFill>
      </fill>
      <alignment horizontal="general" vertical="bottom" textRotation="0" wrapText="1" indent="0" justifyLastLine="0" shrinkToFit="0" readingOrder="0"/>
      <protection locked="1" hidden="0"/>
    </dxf>
    <dxf>
      <fill>
        <patternFill patternType="solid">
          <fgColor indexed="64"/>
          <bgColor theme="0"/>
        </patternFill>
      </fill>
      <alignment horizontal="general" vertical="bottom" textRotation="0" wrapText="1" indent="0" justifyLastLine="0" shrinkToFit="0" readingOrder="0"/>
      <protection locked="1" hidden="0"/>
    </dxf>
    <dxf>
      <fill>
        <patternFill patternType="solid">
          <fgColor indexed="64"/>
          <bgColor theme="0"/>
        </patternFill>
      </fill>
      <alignment horizontal="general" vertical="bottom" textRotation="0" wrapText="1" indent="0" justifyLastLine="0" shrinkToFit="0" readingOrder="0"/>
      <protection locked="1" hidden="0"/>
    </dxf>
    <dxf>
      <fill>
        <patternFill patternType="solid">
          <fgColor indexed="64"/>
          <bgColor theme="0"/>
        </patternFill>
      </fill>
      <alignment horizontal="general" vertical="bottom" textRotation="0" wrapText="1" indent="0" justifyLastLine="0" shrinkToFit="0" readingOrder="0"/>
      <protection locked="1" hidden="0"/>
    </dxf>
    <dxf>
      <fill>
        <patternFill patternType="solid">
          <fgColor indexed="64"/>
          <bgColor theme="0"/>
        </patternFill>
      </fill>
      <alignment horizontal="general" vertical="bottom" textRotation="0" wrapText="1" indent="0" justifyLastLine="0" shrinkToFit="0" readingOrder="0"/>
      <protection locked="1" hidden="0"/>
    </dxf>
    <dxf>
      <numFmt numFmtId="0" formatCode="General"/>
      <fill>
        <patternFill patternType="solid">
          <fgColor indexed="64"/>
          <bgColor theme="0"/>
        </patternFill>
      </fill>
      <alignment horizontal="general" vertical="bottom" textRotation="0" wrapText="1" indent="0" justifyLastLine="0" shrinkToFit="0" readingOrder="0"/>
      <protection locked="1" hidden="0"/>
    </dxf>
    <dxf>
      <numFmt numFmtId="164" formatCode="[$-3409]mmmm\ dd\,\ yyyy;@"/>
      <fill>
        <patternFill patternType="solid">
          <fgColor indexed="64"/>
          <bgColor theme="0"/>
        </patternFill>
      </fill>
      <alignment horizontal="general" vertical="bottom" textRotation="0" wrapText="1" indent="0" justifyLastLine="0" shrinkToFit="0" readingOrder="0"/>
      <protection locked="1" hidden="0"/>
    </dxf>
    <dxf>
      <fill>
        <patternFill patternType="solid">
          <fgColor indexed="64"/>
          <bgColor theme="0"/>
        </patternFill>
      </fill>
      <alignment horizontal="general" vertical="bottom" textRotation="0" wrapText="1" indent="0" justifyLastLine="0" shrinkToFit="0" readingOrder="0"/>
      <protection locked="1" hidden="0"/>
    </dxf>
    <dxf>
      <fill>
        <patternFill patternType="solid">
          <fgColor indexed="64"/>
          <bgColor theme="0"/>
        </patternFill>
      </fill>
      <alignment horizontal="general" vertical="bottom" textRotation="0" wrapText="1" indent="0" justifyLastLine="0" shrinkToFit="0" readingOrder="0"/>
      <protection locked="1" hidden="0"/>
    </dxf>
    <dxf>
      <fill>
        <patternFill patternType="solid">
          <fgColor indexed="64"/>
          <bgColor theme="0"/>
        </patternFill>
      </fill>
      <alignment horizontal="general" vertical="bottom" textRotation="0" wrapText="1" indent="0" justifyLastLine="0" shrinkToFit="0" readingOrder="0"/>
      <protection locked="1" hidden="0"/>
    </dxf>
    <dxf>
      <fill>
        <patternFill patternType="solid">
          <fgColor indexed="64"/>
          <bgColor theme="0"/>
        </patternFill>
      </fill>
      <alignment horizontal="general" vertical="bottom" textRotation="0" wrapText="1" indent="0" justifyLastLine="0" shrinkToFit="0" readingOrder="0"/>
      <protection locked="1" hidden="0"/>
    </dxf>
    <dxf>
      <font>
        <b/>
        <i val="0"/>
        <sz val="9"/>
        <color auto="1"/>
        <name val="Segoe UI"/>
        <scheme val="none"/>
      </font>
      <fill>
        <patternFill>
          <bgColor rgb="FFF2F2F2"/>
        </patternFill>
      </fill>
    </dxf>
  </dxfs>
  <tableStyles count="1" defaultTableStyle="TableStyleMedium2" defaultPivotStyle="PivotStyleLight16">
    <tableStyle name="MSWD_Sidebar" pivot="0" table="0" count="2">
      <tableStyleElement type="wholeTable" dxfId="17"/>
    </tableStyle>
  </tableStyles>
  <colors>
    <mruColors>
      <color rgb="FF0B2F64"/>
      <color rgb="FFF2F2F2"/>
      <color rgb="FF003366"/>
      <color rgb="FF3B3B3B"/>
      <color rgb="FFFF0000"/>
    </mruColors>
  </colors>
  <extLst>
    <ext xmlns:x14="http://schemas.microsoft.com/office/spreadsheetml/2009/9/main" uri="{46F421CA-312F-682f-3DD2-61675219B42D}">
      <x14:dxfs count="1">
        <dxf>
          <font>
            <color theme="0"/>
          </font>
          <fill>
            <patternFill>
              <bgColor rgb="FF0B2F64"/>
            </patternFill>
          </fill>
        </dxf>
      </x14:dxfs>
    </ext>
    <ext xmlns:x14="http://schemas.microsoft.com/office/spreadsheetml/2009/9/main" uri="{EB79DEF2-80B8-43e5-95BD-54CBDDF9020C}">
      <x14:slicerStyles defaultSlicerStyle="SlicerStyleLight1">
        <x14:slicerStyle name="MSWD_Sidebar">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3.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[ERPAT_Registry.xlsm]Dashboard_Engine!PivotTable1</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50000"/>
            </a:schemeClr>
          </a:solidFill>
          <a:ln>
            <a:solidFill>
              <a:schemeClr val="accent1">
                <a:lumMod val="50000"/>
              </a:schemeClr>
            </a:solid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panose="020B0502040204020203" pitchFamily="34"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0357414303550304"/>
          <c:y val="0"/>
          <c:w val="0.8674878490985426"/>
          <c:h val="0.87789950438735831"/>
        </c:manualLayout>
      </c:layout>
      <c:barChart>
        <c:barDir val="bar"/>
        <c:grouping val="clustered"/>
        <c:varyColors val="0"/>
        <c:ser>
          <c:idx val="0"/>
          <c:order val="0"/>
          <c:tx>
            <c:strRef>
              <c:f>Dashboard_Engine!$B$3</c:f>
              <c:strCache>
                <c:ptCount val="1"/>
                <c:pt idx="0">
                  <c:v>Total</c:v>
                </c:pt>
              </c:strCache>
            </c:strRef>
          </c:tx>
          <c:spPr>
            <a:solidFill>
              <a:schemeClr val="accent1">
                <a:lumMod val="50000"/>
              </a:schemeClr>
            </a:solidFill>
            <a:ln>
              <a:solidFill>
                <a:schemeClr val="accent1">
                  <a:lumMod val="5000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Segoe UI" panose="020B0502040204020203"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Dashboard_Engine!$A$4:$A$6</c:f>
              <c:strCache>
                <c:ptCount val="2"/>
                <c:pt idx="0">
                  <c:v>Lucban Pook</c:v>
                </c:pt>
                <c:pt idx="1">
                  <c:v>Lanatan</c:v>
                </c:pt>
              </c:strCache>
            </c:strRef>
          </c:cat>
          <c:val>
            <c:numRef>
              <c:f>Dashboard_Engine!$B$4:$B$6</c:f>
              <c:numCache>
                <c:formatCode>General</c:formatCode>
                <c:ptCount val="2"/>
                <c:pt idx="0">
                  <c:v>1</c:v>
                </c:pt>
                <c:pt idx="1">
                  <c:v>1</c:v>
                </c:pt>
              </c:numCache>
            </c:numRef>
          </c:val>
          <c:extLst>
            <c:ext xmlns:c16="http://schemas.microsoft.com/office/drawing/2014/chart" uri="{C3380CC4-5D6E-409C-BE32-E72D297353CC}">
              <c16:uniqueId val="{00000000-CBEA-4140-BF46-2FAFA9025838}"/>
            </c:ext>
          </c:extLst>
        </c:ser>
        <c:dLbls>
          <c:showLegendKey val="0"/>
          <c:showVal val="0"/>
          <c:showCatName val="0"/>
          <c:showSerName val="0"/>
          <c:showPercent val="0"/>
          <c:showBubbleSize val="0"/>
        </c:dLbls>
        <c:gapWidth val="80"/>
        <c:axId val="1820094607"/>
        <c:axId val="1820093167"/>
      </c:barChart>
      <c:catAx>
        <c:axId val="182009460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95000"/>
                    <a:lumOff val="5000"/>
                  </a:schemeClr>
                </a:solidFill>
                <a:latin typeface="Segoe UI" panose="020B0502040204020203" pitchFamily="34" charset="0"/>
                <a:ea typeface="+mn-ea"/>
                <a:cs typeface="+mn-cs"/>
              </a:defRPr>
            </a:pPr>
            <a:endParaRPr lang="en-US"/>
          </a:p>
        </c:txPr>
        <c:crossAx val="1820093167"/>
        <c:crosses val="autoZero"/>
        <c:auto val="1"/>
        <c:lblAlgn val="ctr"/>
        <c:lblOffset val="100"/>
        <c:noMultiLvlLbl val="0"/>
      </c:catAx>
      <c:valAx>
        <c:axId val="1820093167"/>
        <c:scaling>
          <c:orientation val="minMax"/>
        </c:scaling>
        <c:delete val="1"/>
        <c:axPos val="b"/>
        <c:numFmt formatCode="General" sourceLinked="1"/>
        <c:majorTickMark val="out"/>
        <c:minorTickMark val="none"/>
        <c:tickLblPos val="nextTo"/>
        <c:crossAx val="18200946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baseline="0">
          <a:solidFill>
            <a:schemeClr val="tx1">
              <a:lumMod val="95000"/>
              <a:lumOff val="5000"/>
            </a:schemeClr>
          </a:solidFill>
          <a:latin typeface="Segoe UI" panose="020B05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[ERPAT_Registry.xlsm]Dashboard_Engine!PivotTable2</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B2F64"/>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panose="020B0502040204020203"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315739196836225E-2"/>
          <c:y val="4.5416427515202883E-2"/>
          <c:w val="0.70561338050287492"/>
          <c:h val="0.79594837189259549"/>
        </c:manualLayout>
      </c:layout>
      <c:barChart>
        <c:barDir val="col"/>
        <c:grouping val="stacked"/>
        <c:varyColors val="0"/>
        <c:ser>
          <c:idx val="0"/>
          <c:order val="0"/>
          <c:tx>
            <c:strRef>
              <c:f>Dashboard_Engine!$F$3:$F$4</c:f>
              <c:strCache>
                <c:ptCount val="1"/>
                <c:pt idx="0">
                  <c:v>NONE</c:v>
                </c:pt>
              </c:strCache>
            </c:strRef>
          </c:tx>
          <c:spPr>
            <a:solidFill>
              <a:srgbClr val="0B2F6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panose="020B0502040204020203"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Dashboard_Engine!$E$5:$E$6</c:f>
              <c:strCache>
                <c:ptCount val="1"/>
                <c:pt idx="0">
                  <c:v>20-29</c:v>
                </c:pt>
              </c:strCache>
            </c:strRef>
          </c:cat>
          <c:val>
            <c:numRef>
              <c:f>Dashboard_Engine!$F$5:$F$6</c:f>
              <c:numCache>
                <c:formatCode>General</c:formatCode>
                <c:ptCount val="1"/>
                <c:pt idx="0">
                  <c:v>2</c:v>
                </c:pt>
              </c:numCache>
            </c:numRef>
          </c:val>
          <c:extLst>
            <c:ext xmlns:c16="http://schemas.microsoft.com/office/drawing/2014/chart" uri="{C3380CC4-5D6E-409C-BE32-E72D297353CC}">
              <c16:uniqueId val="{00000004-8072-401B-8C68-18A7DA8D73C8}"/>
            </c:ext>
          </c:extLst>
        </c:ser>
        <c:dLbls>
          <c:dLblPos val="ctr"/>
          <c:showLegendKey val="0"/>
          <c:showVal val="1"/>
          <c:showCatName val="0"/>
          <c:showSerName val="0"/>
          <c:showPercent val="0"/>
          <c:showBubbleSize val="0"/>
        </c:dLbls>
        <c:gapWidth val="80"/>
        <c:overlap val="100"/>
        <c:axId val="302896991"/>
        <c:axId val="302897951"/>
      </c:barChart>
      <c:catAx>
        <c:axId val="3028969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panose="020B0502040204020203" pitchFamily="34" charset="0"/>
                <a:ea typeface="+mn-ea"/>
                <a:cs typeface="+mn-cs"/>
              </a:defRPr>
            </a:pPr>
            <a:endParaRPr lang="en-US"/>
          </a:p>
        </c:txPr>
        <c:crossAx val="302897951"/>
        <c:crosses val="autoZero"/>
        <c:auto val="1"/>
        <c:lblAlgn val="ctr"/>
        <c:lblOffset val="100"/>
        <c:noMultiLvlLbl val="0"/>
      </c:catAx>
      <c:valAx>
        <c:axId val="302897951"/>
        <c:scaling>
          <c:orientation val="minMax"/>
        </c:scaling>
        <c:delete val="1"/>
        <c:axPos val="l"/>
        <c:numFmt formatCode="General" sourceLinked="1"/>
        <c:majorTickMark val="none"/>
        <c:minorTickMark val="none"/>
        <c:tickLblPos val="nextTo"/>
        <c:crossAx val="302896991"/>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Segoe UI" panose="020B0502040204020203" pitchFamily="34" charset="0"/>
              <a:ea typeface="+mn-ea"/>
              <a:cs typeface="+mn-cs"/>
            </a:defRPr>
          </a:pPr>
          <a:endParaRPr lang="en-US"/>
        </a:p>
      </c:txPr>
    </c:legend>
    <c:plotVisOnly val="1"/>
    <c:dispBlanksAs val="gap"/>
    <c:showDLblsOverMax val="0"/>
    <c:extLst/>
  </c:chart>
  <c:spPr>
    <a:noFill/>
    <a:ln w="9525" cap="flat" cmpd="sng" algn="ctr">
      <a:noFill/>
      <a:round/>
    </a:ln>
    <a:effectLst/>
  </c:spPr>
  <c:txPr>
    <a:bodyPr/>
    <a:lstStyle/>
    <a:p>
      <a:pPr>
        <a:defRPr baseline="0">
          <a:solidFill>
            <a:schemeClr val="tx1"/>
          </a:solidFill>
          <a:latin typeface="Segoe UI" panose="020B05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[ERPAT_Registry.xlsm]Dashboard_Engine!PivotTable4</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layout/>
          <c:spPr>
            <a:noFill/>
            <a:ln>
              <a:noFill/>
              <a:prstDash val="solid"/>
            </a:ln>
            <a:effectLst/>
          </c:spPr>
          <c:txPr>
            <a:bodyPr rot="0" spcFirstLastPara="1" vertOverflow="clip" horzOverflow="clip" vert="horz" wrap="square" lIns="36576" tIns="18288" rIns="36576" bIns="18288" anchor="ctr" anchorCtr="1">
              <a:spAutoFit/>
            </a:bodyPr>
            <a:lstStyle/>
            <a:p>
              <a:pPr>
                <a:defRPr sz="1000" b="0" i="0" u="none" strike="noStrike" kern="1200" baseline="0">
                  <a:solidFill>
                    <a:schemeClr val="tx1"/>
                  </a:solidFill>
                  <a:latin typeface="Segoe UI" panose="020B0502040204020203" pitchFamily="34"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ext>
          </c:extLst>
        </c:dLbl>
      </c:pivotFmt>
      <c:pivotFmt>
        <c:idx val="5"/>
        <c:spPr>
          <a:solidFill>
            <a:srgbClr val="003366"/>
          </a:solidFill>
          <a:ln w="19050">
            <a:solidFill>
              <a:schemeClr val="lt1"/>
            </a:solidFill>
          </a:ln>
          <a:effectLst/>
        </c:spPr>
      </c:pivotFmt>
      <c:pivotFmt>
        <c:idx val="6"/>
        <c:spPr>
          <a:solidFill>
            <a:schemeClr val="accent1">
              <a:lumMod val="60000"/>
              <a:lumOff val="40000"/>
            </a:schemeClr>
          </a:solidFill>
          <a:ln w="19050">
            <a:solidFill>
              <a:schemeClr val="lt1"/>
            </a:solidFill>
          </a:ln>
          <a:effectLst/>
        </c:spPr>
      </c:pivotFmt>
    </c:pivotFmts>
    <c:plotArea>
      <c:layout/>
      <c:doughnutChart>
        <c:varyColors val="1"/>
        <c:ser>
          <c:idx val="0"/>
          <c:order val="0"/>
          <c:tx>
            <c:strRef>
              <c:f>Dashboard_Engine!$R$3</c:f>
              <c:strCache>
                <c:ptCount val="1"/>
                <c:pt idx="0">
                  <c:v>Total</c:v>
                </c:pt>
              </c:strCache>
            </c:strRef>
          </c:tx>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2D3A-4EC2-B8AD-CCD186364CAA}"/>
              </c:ext>
            </c:extLst>
          </c:dPt>
          <c:dLbls>
            <c:spPr>
              <a:noFill/>
              <a:ln>
                <a:noFill/>
                <a:prstDash val="solid"/>
              </a:ln>
              <a:effectLst/>
            </c:spPr>
            <c:txPr>
              <a:bodyPr rot="0" spcFirstLastPara="1" vertOverflow="clip" horzOverflow="clip" vert="horz" wrap="square" lIns="36576" tIns="18288" rIns="36576" bIns="18288" anchor="ctr" anchorCtr="1">
                <a:spAutoFit/>
              </a:bodyPr>
              <a:lstStyle/>
              <a:p>
                <a:pPr>
                  <a:defRPr sz="1000" b="0" i="0" u="none" strike="noStrike" kern="1200" baseline="0">
                    <a:solidFill>
                      <a:schemeClr val="tx1"/>
                    </a:solidFill>
                    <a:latin typeface="Segoe UI" panose="020B0502040204020203" pitchFamily="34" charset="0"/>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15:layout/>
              </c:ext>
            </c:extLst>
          </c:dLbls>
          <c:cat>
            <c:strRef>
              <c:f>Dashboard_Engine!$Q$4:$Q$5</c:f>
              <c:strCache>
                <c:ptCount val="1"/>
                <c:pt idx="0">
                  <c:v>SINGLE</c:v>
                </c:pt>
              </c:strCache>
            </c:strRef>
          </c:cat>
          <c:val>
            <c:numRef>
              <c:f>Dashboard_Engine!$R$4:$R$5</c:f>
              <c:numCache>
                <c:formatCode>General</c:formatCode>
                <c:ptCount val="1"/>
                <c:pt idx="0">
                  <c:v>2</c:v>
                </c:pt>
              </c:numCache>
            </c:numRef>
          </c:val>
          <c:extLst>
            <c:ext xmlns:c16="http://schemas.microsoft.com/office/drawing/2014/chart" uri="{C3380CC4-5D6E-409C-BE32-E72D297353CC}">
              <c16:uniqueId val="{00000004-1B83-4F55-9FB2-C818EE73BAAA}"/>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panose="020B0502040204020203"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sz="1000" baseline="0">
          <a:solidFill>
            <a:schemeClr val="tx1"/>
          </a:solidFill>
          <a:latin typeface="Segoe UI" panose="020B05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1</xdr:row>
          <xdr:rowOff>19050</xdr:rowOff>
        </xdr:from>
        <xdr:to>
          <xdr:col>1</xdr:col>
          <xdr:colOff>752475</xdr:colOff>
          <xdr:row>1</xdr:row>
          <xdr:rowOff>390525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00"/>
                  </a:solidFill>
                  <a:latin typeface="Calibri"/>
                  <a:ea typeface="Calibri"/>
                  <a:cs typeface="Calibri"/>
                </a:rPr>
                <a:t>EDITING TOOL</a:t>
              </a:r>
            </a:p>
          </xdr:txBody>
        </xdr:sp>
        <xdr:clientData fPrintsWithSheet="0"/>
      </xdr:twoCellAnchor>
    </mc:Choice>
    <mc:Fallback/>
  </mc:AlternateContent>
  <xdr:twoCellAnchor editAs="oneCell">
    <xdr:from>
      <xdr:col>11</xdr:col>
      <xdr:colOff>825436</xdr:colOff>
      <xdr:row>0</xdr:row>
      <xdr:rowOff>91335</xdr:rowOff>
    </xdr:from>
    <xdr:to>
      <xdr:col>15</xdr:col>
      <xdr:colOff>55562</xdr:colOff>
      <xdr:row>1</xdr:row>
      <xdr:rowOff>28507</xdr:rowOff>
    </xdr:to>
    <xdr:pic>
      <xdr:nvPicPr>
        <xdr:cNvPr id="7" name="Picture 6">
          <a:extLst>
            <a:ext uri="{FF2B5EF4-FFF2-40B4-BE49-F238E27FC236}">
              <a16:creationId xmlns:a16="http://schemas.microsoft.com/office/drawing/2014/main" id="{C4DA7AA1-BF4F-4BDA-DCDC-EB52F1D0FD1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42902" y="91335"/>
          <a:ext cx="1095982" cy="1098439"/>
        </a:xfrm>
        <a:prstGeom prst="rect">
          <a:avLst/>
        </a:prstGeom>
      </xdr:spPr>
    </xdr:pic>
    <xdr:clientData/>
  </xdr:twoCellAnchor>
  <xdr:twoCellAnchor editAs="oneCell">
    <xdr:from>
      <xdr:col>1</xdr:col>
      <xdr:colOff>843985</xdr:colOff>
      <xdr:row>1</xdr:row>
      <xdr:rowOff>15526</xdr:rowOff>
    </xdr:from>
    <xdr:to>
      <xdr:col>3</xdr:col>
      <xdr:colOff>244837</xdr:colOff>
      <xdr:row>1</xdr:row>
      <xdr:rowOff>393351</xdr:rowOff>
    </xdr:to>
    <xdr:sp macro="[0]!RenderSelectedIDs_FrontBack_SeparateSheets" textlink="">
      <xdr:nvSpPr>
        <xdr:cNvPr id="2" name="btnPrintSelectedIDs8">
          <a:extLst>
            <a:ext uri="{FF2B5EF4-FFF2-40B4-BE49-F238E27FC236}">
              <a16:creationId xmlns:a16="http://schemas.microsoft.com/office/drawing/2014/main" id="{C11A7D78-9B98-0874-E1FD-F038F5D20884}"/>
            </a:ext>
          </a:extLst>
        </xdr:cNvPr>
        <xdr:cNvSpPr/>
      </xdr:nvSpPr>
      <xdr:spPr>
        <a:xfrm>
          <a:off x="1483334" y="1176793"/>
          <a:ext cx="2441024" cy="377825"/>
        </a:xfrm>
        <a:prstGeom prst="round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PH" sz="1200" b="1">
              <a:solidFill>
                <a:schemeClr val="tx1"/>
              </a:solidFill>
            </a:rPr>
            <a:t>PRINT SELECTED IDS (A4 • 8-UP)</a:t>
          </a:r>
        </a:p>
      </xdr:txBody>
    </xdr:sp>
    <xdr:clientData fPrintsWithSheet="0"/>
  </xdr:twoCellAnchor>
  <xdr:twoCellAnchor editAs="oneCell">
    <xdr:from>
      <xdr:col>0</xdr:col>
      <xdr:colOff>0</xdr:colOff>
      <xdr:row>0</xdr:row>
      <xdr:rowOff>0</xdr:rowOff>
    </xdr:from>
    <xdr:to>
      <xdr:col>3</xdr:col>
      <xdr:colOff>48591</xdr:colOff>
      <xdr:row>1</xdr:row>
      <xdr:rowOff>151694</xdr:rowOff>
    </xdr:to>
    <xdr:pic>
      <xdr:nvPicPr>
        <xdr:cNvPr id="4" name="Picture 3">
          <a:extLst>
            <a:ext uri="{FF2B5EF4-FFF2-40B4-BE49-F238E27FC236}">
              <a16:creationId xmlns:a16="http://schemas.microsoft.com/office/drawing/2014/main" id="{D2FCF6EE-5FDB-3A33-D542-2A2BA299798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3733800" cy="1313744"/>
        </a:xfrm>
        <a:prstGeom prst="rect">
          <a:avLst/>
        </a:prstGeom>
      </xdr:spPr>
    </xdr:pic>
    <xdr:clientData/>
  </xdr:twoCellAnchor>
  <xdr:twoCellAnchor editAs="absolute">
    <xdr:from>
      <xdr:col>3</xdr:col>
      <xdr:colOff>313150</xdr:colOff>
      <xdr:row>1</xdr:row>
      <xdr:rowOff>52846</xdr:rowOff>
    </xdr:from>
    <xdr:to>
      <xdr:col>11</xdr:col>
      <xdr:colOff>489916</xdr:colOff>
      <xdr:row>1</xdr:row>
      <xdr:rowOff>375728</xdr:rowOff>
    </xdr:to>
    <mc:AlternateContent xmlns:mc="http://schemas.openxmlformats.org/markup-compatibility/2006" xmlns:sle15="http://schemas.microsoft.com/office/drawing/2012/slicer">
      <mc:Choice Requires="sle15">
        <xdr:graphicFrame macro="">
          <xdr:nvGraphicFramePr>
            <xdr:cNvPr id="10" name="YEAR ISSUED">
              <a:extLst>
                <a:ext uri="{FF2B5EF4-FFF2-40B4-BE49-F238E27FC236}">
                  <a16:creationId xmlns:a16="http://schemas.microsoft.com/office/drawing/2014/main" id="{49E60A00-9DA8-2246-A7C0-2AC03C4EA714}"/>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YEAR ISSUED"/>
            </a:graphicData>
          </a:graphic>
        </xdr:graphicFrame>
      </mc:Choice>
      <mc:Fallback xmlns="">
        <xdr:sp macro="" textlink="">
          <xdr:nvSpPr>
            <xdr:cNvPr id="0" name=""/>
            <xdr:cNvSpPr>
              <a:spLocks noTextEdit="1"/>
            </xdr:cNvSpPr>
          </xdr:nvSpPr>
          <xdr:spPr>
            <a:xfrm>
              <a:off x="5190785" y="1214113"/>
              <a:ext cx="8216597" cy="322882"/>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editAs="absolute">
    <xdr:from>
      <xdr:col>2</xdr:col>
      <xdr:colOff>1204393</xdr:colOff>
      <xdr:row>0</xdr:row>
      <xdr:rowOff>0</xdr:rowOff>
    </xdr:from>
    <xdr:to>
      <xdr:col>4</xdr:col>
      <xdr:colOff>884414</xdr:colOff>
      <xdr:row>1</xdr:row>
      <xdr:rowOff>0</xdr:rowOff>
    </xdr:to>
    <mc:AlternateContent xmlns:mc="http://schemas.openxmlformats.org/markup-compatibility/2006" xmlns:sle15="http://schemas.microsoft.com/office/drawing/2012/slicer">
      <mc:Choice Requires="sle15">
        <xdr:graphicFrame macro="">
          <xdr:nvGraphicFramePr>
            <xdr:cNvPr id="11" name="HELPER MONTH">
              <a:extLst>
                <a:ext uri="{FF2B5EF4-FFF2-40B4-BE49-F238E27FC236}">
                  <a16:creationId xmlns:a16="http://schemas.microsoft.com/office/drawing/2014/main" id="{95D174AF-2699-B762-FB00-EB559C556211}"/>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HELPER MONTH"/>
            </a:graphicData>
          </a:graphic>
        </xdr:graphicFrame>
      </mc:Choice>
      <mc:Fallback xmlns="">
        <xdr:sp macro="" textlink="">
          <xdr:nvSpPr>
            <xdr:cNvPr id="0" name=""/>
            <xdr:cNvSpPr>
              <a:spLocks noTextEdit="1"/>
            </xdr:cNvSpPr>
          </xdr:nvSpPr>
          <xdr:spPr>
            <a:xfrm>
              <a:off x="3614333" y="0"/>
              <a:ext cx="2285051" cy="1159066"/>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oneCell">
        <xdr:from>
          <xdr:col>11</xdr:col>
          <xdr:colOff>514350</xdr:colOff>
          <xdr:row>1</xdr:row>
          <xdr:rowOff>38100</xdr:rowOff>
        </xdr:from>
        <xdr:to>
          <xdr:col>13</xdr:col>
          <xdr:colOff>0</xdr:colOff>
          <xdr:row>1</xdr:row>
          <xdr:rowOff>352425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1100" b="0" i="0" u="none" strike="noStrike" baseline="0">
                  <a:solidFill>
                    <a:srgbClr val="000000"/>
                  </a:solidFill>
                  <a:latin typeface="Calibri"/>
                  <a:ea typeface="Calibri"/>
                  <a:cs typeface="Calibri"/>
                </a:rPr>
                <a:t>CLEAR FILTERS</a:t>
              </a:r>
            </a:p>
          </xdr:txBody>
        </xdr:sp>
        <xdr:clientData fPrintsWithSheet="0"/>
      </xdr:twoCellAnchor>
    </mc:Choice>
    <mc:Fallback/>
  </mc:AlternateContent>
  <xdr:twoCellAnchor editAs="absolute">
    <xdr:from>
      <xdr:col>10</xdr:col>
      <xdr:colOff>108366</xdr:colOff>
      <xdr:row>0</xdr:row>
      <xdr:rowOff>21571</xdr:rowOff>
    </xdr:from>
    <xdr:to>
      <xdr:col>11</xdr:col>
      <xdr:colOff>688695</xdr:colOff>
      <xdr:row>1</xdr:row>
      <xdr:rowOff>52192</xdr:rowOff>
    </xdr:to>
    <mc:AlternateContent xmlns:mc="http://schemas.openxmlformats.org/markup-compatibility/2006" xmlns:sle15="http://schemas.microsoft.com/office/drawing/2012/slicer">
      <mc:Choice Requires="sle15">
        <xdr:graphicFrame macro="">
          <xdr:nvGraphicFramePr>
            <xdr:cNvPr id="3" name="ADDRESS">
              <a:extLst>
                <a:ext uri="{FF2B5EF4-FFF2-40B4-BE49-F238E27FC236}">
                  <a16:creationId xmlns:a16="http://schemas.microsoft.com/office/drawing/2014/main" id="{2FFB1568-0B16-6C92-59B7-3CB16D79DAE3}"/>
                </a:ext>
              </a:extLst>
            </xdr:cNvPr>
            <xdr:cNvGraphicFramePr>
              <a:graphicFrameLocks noChangeAspect="1" noMove="1" noResize="1"/>
            </xdr:cNvGraphicFramePr>
          </xdr:nvGraphicFramePr>
          <xdr:xfrm>
            <a:off x="0" y="0"/>
            <a:ext cx="0" cy="0"/>
          </xdr:xfrm>
          <a:graphic>
            <a:graphicData uri="http://schemas.microsoft.com/office/drawing/2010/slicer">
              <sle:slicer xmlns:sle="http://schemas.microsoft.com/office/drawing/2010/slicer" name="ADDRESS"/>
            </a:graphicData>
          </a:graphic>
        </xdr:graphicFrame>
      </mc:Choice>
      <mc:Fallback xmlns="">
        <xdr:sp macro="" textlink="">
          <xdr:nvSpPr>
            <xdr:cNvPr id="0" name=""/>
            <xdr:cNvSpPr>
              <a:spLocks noTextEdit="1"/>
            </xdr:cNvSpPr>
          </xdr:nvSpPr>
          <xdr:spPr>
            <a:xfrm>
              <a:off x="11297372" y="21571"/>
              <a:ext cx="2290239" cy="1189687"/>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182880</xdr:colOff>
      <xdr:row>0</xdr:row>
      <xdr:rowOff>182880</xdr:rowOff>
    </xdr:from>
    <xdr:to>
      <xdr:col>15</xdr:col>
      <xdr:colOff>5715</xdr:colOff>
      <xdr:row>11</xdr:row>
      <xdr:rowOff>144780</xdr:rowOff>
    </xdr:to>
    <xdr:pic>
      <xdr:nvPicPr>
        <xdr:cNvPr id="114" name="Picture 113">
          <a:extLst>
            <a:ext uri="{FF2B5EF4-FFF2-40B4-BE49-F238E27FC236}">
              <a16:creationId xmlns:a16="http://schemas.microsoft.com/office/drawing/2014/main" id="{7D1D7396-1C2A-214C-6919-FADB7B89F8B9}"/>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2880" y="182880"/>
          <a:ext cx="3108960" cy="2057400"/>
        </a:xfrm>
        <a:prstGeom prst="rect">
          <a:avLst/>
        </a:prstGeom>
      </xdr:spPr>
    </xdr:pic>
    <xdr:clientData/>
  </xdr:twoCellAnchor>
  <xdr:twoCellAnchor>
    <xdr:from>
      <xdr:col>6</xdr:col>
      <xdr:colOff>174193</xdr:colOff>
      <xdr:row>3</xdr:row>
      <xdr:rowOff>64008</xdr:rowOff>
    </xdr:from>
    <xdr:to>
      <xdr:col>14</xdr:col>
      <xdr:colOff>199593</xdr:colOff>
      <xdr:row>6</xdr:row>
      <xdr:rowOff>508</xdr:rowOff>
    </xdr:to>
    <xdr:sp macro="" textlink="">
      <xdr:nvSpPr>
        <xdr:cNvPr id="115" name="TextBox 114">
          <a:extLst>
            <a:ext uri="{FF2B5EF4-FFF2-40B4-BE49-F238E27FC236}">
              <a16:creationId xmlns:a16="http://schemas.microsoft.com/office/drawing/2014/main" id="{A429DD2D-CBD4-3231-DE2F-BB8FA868BC85}"/>
            </a:ext>
          </a:extLst>
        </xdr:cNvPr>
        <xdr:cNvSpPr txBox="1"/>
      </xdr:nvSpPr>
      <xdr:spPr>
        <a:xfrm>
          <a:off x="1488643" y="635508"/>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1100" b="1"/>
            <a:t>ERROL L. ALDAY</a:t>
          </a:r>
        </a:p>
      </xdr:txBody>
    </xdr:sp>
    <xdr:clientData/>
  </xdr:twoCellAnchor>
  <xdr:twoCellAnchor>
    <xdr:from>
      <xdr:col>7</xdr:col>
      <xdr:colOff>110566</xdr:colOff>
      <xdr:row>5</xdr:row>
      <xdr:rowOff>12192</xdr:rowOff>
    </xdr:from>
    <xdr:to>
      <xdr:col>14</xdr:col>
      <xdr:colOff>101041</xdr:colOff>
      <xdr:row>7</xdr:row>
      <xdr:rowOff>37592</xdr:rowOff>
    </xdr:to>
    <xdr:sp macro="" textlink="">
      <xdr:nvSpPr>
        <xdr:cNvPr id="116" name="TextBox 115">
          <a:extLst>
            <a:ext uri="{FF2B5EF4-FFF2-40B4-BE49-F238E27FC236}">
              <a16:creationId xmlns:a16="http://schemas.microsoft.com/office/drawing/2014/main" id="{6D4BB515-A7E1-41C2-05D6-7745C63F6A63}"/>
            </a:ext>
          </a:extLst>
        </xdr:cNvPr>
        <xdr:cNvSpPr txBox="1"/>
      </xdr:nvSpPr>
      <xdr:spPr>
        <a:xfrm>
          <a:off x="1644091" y="964692"/>
          <a:ext cx="1524000" cy="406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1100" b="0"/>
            <a:t>Brgy. Gimalas, Balayan, Batangas</a:t>
          </a:r>
        </a:p>
      </xdr:txBody>
    </xdr:sp>
    <xdr:clientData/>
  </xdr:twoCellAnchor>
  <xdr:twoCellAnchor>
    <xdr:from>
      <xdr:col>6</xdr:col>
      <xdr:colOff>143104</xdr:colOff>
      <xdr:row>6</xdr:row>
      <xdr:rowOff>48006</xdr:rowOff>
    </xdr:from>
    <xdr:to>
      <xdr:col>14</xdr:col>
      <xdr:colOff>168504</xdr:colOff>
      <xdr:row>8</xdr:row>
      <xdr:rowOff>175006</xdr:rowOff>
    </xdr:to>
    <xdr:sp macro="" textlink="">
      <xdr:nvSpPr>
        <xdr:cNvPr id="117" name="TextBox 116">
          <a:extLst>
            <a:ext uri="{FF2B5EF4-FFF2-40B4-BE49-F238E27FC236}">
              <a16:creationId xmlns:a16="http://schemas.microsoft.com/office/drawing/2014/main" id="{2B4EA0CE-8F3A-A552-BBE1-459183F9DF7F}"/>
            </a:ext>
          </a:extLst>
        </xdr:cNvPr>
        <xdr:cNvSpPr txBox="1"/>
      </xdr:nvSpPr>
      <xdr:spPr>
        <a:xfrm>
          <a:off x="1457554" y="1191006"/>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900" b="0"/>
            <a:t>12/16/1999</a:t>
          </a:r>
        </a:p>
      </xdr:txBody>
    </xdr:sp>
    <xdr:clientData/>
  </xdr:twoCellAnchor>
  <xdr:twoCellAnchor>
    <xdr:from>
      <xdr:col>10</xdr:col>
      <xdr:colOff>44044</xdr:colOff>
      <xdr:row>6</xdr:row>
      <xdr:rowOff>48006</xdr:rowOff>
    </xdr:from>
    <xdr:to>
      <xdr:col>18</xdr:col>
      <xdr:colOff>69444</xdr:colOff>
      <xdr:row>8</xdr:row>
      <xdr:rowOff>175006</xdr:rowOff>
    </xdr:to>
    <xdr:sp macro="" textlink="">
      <xdr:nvSpPr>
        <xdr:cNvPr id="118" name="TextBox 117">
          <a:extLst>
            <a:ext uri="{FF2B5EF4-FFF2-40B4-BE49-F238E27FC236}">
              <a16:creationId xmlns:a16="http://schemas.microsoft.com/office/drawing/2014/main" id="{91CF6A89-A2B1-4BE3-4721-F7D8265227C8}"/>
            </a:ext>
          </a:extLst>
        </xdr:cNvPr>
        <xdr:cNvSpPr txBox="1"/>
      </xdr:nvSpPr>
      <xdr:spPr>
        <a:xfrm>
          <a:off x="2234794" y="1191006"/>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900" b="0"/>
            <a:t>03/11/2026</a:t>
          </a:r>
        </a:p>
      </xdr:txBody>
    </xdr:sp>
    <xdr:clientData/>
  </xdr:twoCellAnchor>
  <xdr:twoCellAnchor>
    <xdr:from>
      <xdr:col>13</xdr:col>
      <xdr:colOff>39700</xdr:colOff>
      <xdr:row>6</xdr:row>
      <xdr:rowOff>48006</xdr:rowOff>
    </xdr:from>
    <xdr:to>
      <xdr:col>21</xdr:col>
      <xdr:colOff>65100</xdr:colOff>
      <xdr:row>8</xdr:row>
      <xdr:rowOff>175006</xdr:rowOff>
    </xdr:to>
    <xdr:sp macro="" textlink="">
      <xdr:nvSpPr>
        <xdr:cNvPr id="119" name="TextBox 118">
          <a:extLst>
            <a:ext uri="{FF2B5EF4-FFF2-40B4-BE49-F238E27FC236}">
              <a16:creationId xmlns:a16="http://schemas.microsoft.com/office/drawing/2014/main" id="{97B9A8C3-C182-D9D4-E508-B7B51C7D12C7}"/>
            </a:ext>
          </a:extLst>
        </xdr:cNvPr>
        <xdr:cNvSpPr txBox="1"/>
      </xdr:nvSpPr>
      <xdr:spPr>
        <a:xfrm>
          <a:off x="2887675" y="1191006"/>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900" b="1"/>
            <a:t>M</a:t>
          </a:r>
        </a:p>
      </xdr:txBody>
    </xdr:sp>
    <xdr:clientData/>
  </xdr:twoCellAnchor>
  <xdr:twoCellAnchor>
    <xdr:from>
      <xdr:col>2</xdr:col>
      <xdr:colOff>55626</xdr:colOff>
      <xdr:row>7</xdr:row>
      <xdr:rowOff>186690</xdr:rowOff>
    </xdr:from>
    <xdr:to>
      <xdr:col>10</xdr:col>
      <xdr:colOff>81026</xdr:colOff>
      <xdr:row>10</xdr:row>
      <xdr:rowOff>123190</xdr:rowOff>
    </xdr:to>
    <xdr:sp macro="" textlink="">
      <xdr:nvSpPr>
        <xdr:cNvPr id="120" name="TextBox 119">
          <a:extLst>
            <a:ext uri="{FF2B5EF4-FFF2-40B4-BE49-F238E27FC236}">
              <a16:creationId xmlns:a16="http://schemas.microsoft.com/office/drawing/2014/main" id="{50A69389-A6A7-25CF-1484-350FC8A7BCEA}"/>
            </a:ext>
          </a:extLst>
        </xdr:cNvPr>
        <xdr:cNvSpPr txBox="1"/>
      </xdr:nvSpPr>
      <xdr:spPr>
        <a:xfrm>
          <a:off x="493776" y="1520190"/>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1200" b="1"/>
            <a:t>2026-06</a:t>
          </a:r>
        </a:p>
      </xdr:txBody>
    </xdr:sp>
    <xdr:clientData/>
  </xdr:twoCellAnchor>
  <xdr:twoCellAnchor editAs="oneCell">
    <xdr:from>
      <xdr:col>15</xdr:col>
      <xdr:colOff>81915</xdr:colOff>
      <xdr:row>0</xdr:row>
      <xdr:rowOff>182880</xdr:rowOff>
    </xdr:from>
    <xdr:to>
      <xdr:col>29</xdr:col>
      <xdr:colOff>123825</xdr:colOff>
      <xdr:row>11</xdr:row>
      <xdr:rowOff>144780</xdr:rowOff>
    </xdr:to>
    <xdr:pic>
      <xdr:nvPicPr>
        <xdr:cNvPr id="122" name="Picture 121">
          <a:extLst>
            <a:ext uri="{FF2B5EF4-FFF2-40B4-BE49-F238E27FC236}">
              <a16:creationId xmlns:a16="http://schemas.microsoft.com/office/drawing/2014/main" id="{AE7A7AD3-93F4-E52E-3B34-BB394309E413}"/>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368040" y="182880"/>
          <a:ext cx="3108960" cy="2057400"/>
        </a:xfrm>
        <a:prstGeom prst="rect">
          <a:avLst/>
        </a:prstGeom>
      </xdr:spPr>
    </xdr:pic>
    <xdr:clientData/>
  </xdr:twoCellAnchor>
  <xdr:twoCellAnchor>
    <xdr:from>
      <xdr:col>21</xdr:col>
      <xdr:colOff>73228</xdr:colOff>
      <xdr:row>3</xdr:row>
      <xdr:rowOff>64008</xdr:rowOff>
    </xdr:from>
    <xdr:to>
      <xdr:col>29</xdr:col>
      <xdr:colOff>98628</xdr:colOff>
      <xdr:row>6</xdr:row>
      <xdr:rowOff>508</xdr:rowOff>
    </xdr:to>
    <xdr:sp macro="" textlink="">
      <xdr:nvSpPr>
        <xdr:cNvPr id="123" name="TextBox 122">
          <a:extLst>
            <a:ext uri="{FF2B5EF4-FFF2-40B4-BE49-F238E27FC236}">
              <a16:creationId xmlns:a16="http://schemas.microsoft.com/office/drawing/2014/main" id="{A288ED4A-CFCD-E9CD-DBC5-D302016D067A}"/>
            </a:ext>
          </a:extLst>
        </xdr:cNvPr>
        <xdr:cNvSpPr txBox="1"/>
      </xdr:nvSpPr>
      <xdr:spPr>
        <a:xfrm>
          <a:off x="4673803" y="635508"/>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1100" b="1"/>
            <a:t>RYAN MICAHEL A. ALMARIO</a:t>
          </a:r>
        </a:p>
      </xdr:txBody>
    </xdr:sp>
    <xdr:clientData/>
  </xdr:twoCellAnchor>
  <xdr:twoCellAnchor>
    <xdr:from>
      <xdr:col>22</xdr:col>
      <xdr:colOff>9601</xdr:colOff>
      <xdr:row>5</xdr:row>
      <xdr:rowOff>12192</xdr:rowOff>
    </xdr:from>
    <xdr:to>
      <xdr:col>29</xdr:col>
      <xdr:colOff>76</xdr:colOff>
      <xdr:row>7</xdr:row>
      <xdr:rowOff>37592</xdr:rowOff>
    </xdr:to>
    <xdr:sp macro="" textlink="">
      <xdr:nvSpPr>
        <xdr:cNvPr id="124" name="TextBox 123">
          <a:extLst>
            <a:ext uri="{FF2B5EF4-FFF2-40B4-BE49-F238E27FC236}">
              <a16:creationId xmlns:a16="http://schemas.microsoft.com/office/drawing/2014/main" id="{82B62B6C-E167-8673-4765-58E6CE66BBF0}"/>
            </a:ext>
          </a:extLst>
        </xdr:cNvPr>
        <xdr:cNvSpPr txBox="1"/>
      </xdr:nvSpPr>
      <xdr:spPr>
        <a:xfrm>
          <a:off x="4829251" y="964692"/>
          <a:ext cx="1524000" cy="406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1100" b="0"/>
            <a:t>Brgy. 5, Balayan, Batangas</a:t>
          </a:r>
        </a:p>
      </xdr:txBody>
    </xdr:sp>
    <xdr:clientData/>
  </xdr:twoCellAnchor>
  <xdr:twoCellAnchor>
    <xdr:from>
      <xdr:col>21</xdr:col>
      <xdr:colOff>42139</xdr:colOff>
      <xdr:row>6</xdr:row>
      <xdr:rowOff>48006</xdr:rowOff>
    </xdr:from>
    <xdr:to>
      <xdr:col>29</xdr:col>
      <xdr:colOff>67539</xdr:colOff>
      <xdr:row>8</xdr:row>
      <xdr:rowOff>175006</xdr:rowOff>
    </xdr:to>
    <xdr:sp macro="" textlink="">
      <xdr:nvSpPr>
        <xdr:cNvPr id="125" name="TextBox 124">
          <a:extLst>
            <a:ext uri="{FF2B5EF4-FFF2-40B4-BE49-F238E27FC236}">
              <a16:creationId xmlns:a16="http://schemas.microsoft.com/office/drawing/2014/main" id="{BF56360A-E024-AB98-63D3-3106B693234D}"/>
            </a:ext>
          </a:extLst>
        </xdr:cNvPr>
        <xdr:cNvSpPr txBox="1"/>
      </xdr:nvSpPr>
      <xdr:spPr>
        <a:xfrm>
          <a:off x="4642714" y="1191006"/>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900" b="0"/>
            <a:t>11/04/2004</a:t>
          </a:r>
        </a:p>
      </xdr:txBody>
    </xdr:sp>
    <xdr:clientData/>
  </xdr:twoCellAnchor>
  <xdr:twoCellAnchor>
    <xdr:from>
      <xdr:col>24</xdr:col>
      <xdr:colOff>162154</xdr:colOff>
      <xdr:row>6</xdr:row>
      <xdr:rowOff>48006</xdr:rowOff>
    </xdr:from>
    <xdr:to>
      <xdr:col>32</xdr:col>
      <xdr:colOff>187554</xdr:colOff>
      <xdr:row>8</xdr:row>
      <xdr:rowOff>175006</xdr:rowOff>
    </xdr:to>
    <xdr:sp macro="" textlink="">
      <xdr:nvSpPr>
        <xdr:cNvPr id="126" name="TextBox 125">
          <a:extLst>
            <a:ext uri="{FF2B5EF4-FFF2-40B4-BE49-F238E27FC236}">
              <a16:creationId xmlns:a16="http://schemas.microsoft.com/office/drawing/2014/main" id="{FBA655F0-9FDF-0865-4ADA-6A8AAF355F86}"/>
            </a:ext>
          </a:extLst>
        </xdr:cNvPr>
        <xdr:cNvSpPr txBox="1"/>
      </xdr:nvSpPr>
      <xdr:spPr>
        <a:xfrm>
          <a:off x="5419954" y="1191006"/>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900" b="0"/>
            <a:t>05/14/2026</a:t>
          </a:r>
        </a:p>
      </xdr:txBody>
    </xdr:sp>
    <xdr:clientData/>
  </xdr:twoCellAnchor>
  <xdr:twoCellAnchor>
    <xdr:from>
      <xdr:col>27</xdr:col>
      <xdr:colOff>157810</xdr:colOff>
      <xdr:row>6</xdr:row>
      <xdr:rowOff>48006</xdr:rowOff>
    </xdr:from>
    <xdr:to>
      <xdr:col>35</xdr:col>
      <xdr:colOff>183210</xdr:colOff>
      <xdr:row>8</xdr:row>
      <xdr:rowOff>175006</xdr:rowOff>
    </xdr:to>
    <xdr:sp macro="" textlink="">
      <xdr:nvSpPr>
        <xdr:cNvPr id="127" name="TextBox 126">
          <a:extLst>
            <a:ext uri="{FF2B5EF4-FFF2-40B4-BE49-F238E27FC236}">
              <a16:creationId xmlns:a16="http://schemas.microsoft.com/office/drawing/2014/main" id="{FDE926B5-9BC7-4C57-7F95-E7965D950E51}"/>
            </a:ext>
          </a:extLst>
        </xdr:cNvPr>
        <xdr:cNvSpPr txBox="1"/>
      </xdr:nvSpPr>
      <xdr:spPr>
        <a:xfrm>
          <a:off x="6072835" y="1191006"/>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900" b="1"/>
            <a:t>M</a:t>
          </a:r>
        </a:p>
      </xdr:txBody>
    </xdr:sp>
    <xdr:clientData/>
  </xdr:twoCellAnchor>
  <xdr:twoCellAnchor>
    <xdr:from>
      <xdr:col>16</xdr:col>
      <xdr:colOff>173736</xdr:colOff>
      <xdr:row>7</xdr:row>
      <xdr:rowOff>186690</xdr:rowOff>
    </xdr:from>
    <xdr:to>
      <xdr:col>24</xdr:col>
      <xdr:colOff>199136</xdr:colOff>
      <xdr:row>10</xdr:row>
      <xdr:rowOff>123190</xdr:rowOff>
    </xdr:to>
    <xdr:sp macro="" textlink="">
      <xdr:nvSpPr>
        <xdr:cNvPr id="128" name="TextBox 127">
          <a:extLst>
            <a:ext uri="{FF2B5EF4-FFF2-40B4-BE49-F238E27FC236}">
              <a16:creationId xmlns:a16="http://schemas.microsoft.com/office/drawing/2014/main" id="{E78D87DF-FDA2-A13E-FA6F-42C69E1CF527}"/>
            </a:ext>
          </a:extLst>
        </xdr:cNvPr>
        <xdr:cNvSpPr txBox="1"/>
      </xdr:nvSpPr>
      <xdr:spPr>
        <a:xfrm>
          <a:off x="3678936" y="1520190"/>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1200" b="1"/>
            <a:t>2026-07</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18288</xdr:colOff>
      <xdr:row>0</xdr:row>
      <xdr:rowOff>182880</xdr:rowOff>
    </xdr:from>
    <xdr:to>
      <xdr:col>30</xdr:col>
      <xdr:colOff>60198</xdr:colOff>
      <xdr:row>11</xdr:row>
      <xdr:rowOff>144780</xdr:rowOff>
    </xdr:to>
    <xdr:pic>
      <xdr:nvPicPr>
        <xdr:cNvPr id="72" name="Picture 71">
          <a:extLst>
            <a:ext uri="{FF2B5EF4-FFF2-40B4-BE49-F238E27FC236}">
              <a16:creationId xmlns:a16="http://schemas.microsoft.com/office/drawing/2014/main" id="{07D84341-FC87-C617-CB84-C377578C9E68}"/>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23488" y="182880"/>
          <a:ext cx="3108960" cy="2057400"/>
        </a:xfrm>
        <a:prstGeom prst="rect">
          <a:avLst/>
        </a:prstGeom>
      </xdr:spPr>
    </xdr:pic>
    <xdr:clientData/>
  </xdr:twoCellAnchor>
  <xdr:twoCellAnchor>
    <xdr:from>
      <xdr:col>19</xdr:col>
      <xdr:colOff>138303</xdr:colOff>
      <xdr:row>2</xdr:row>
      <xdr:rowOff>69342</xdr:rowOff>
    </xdr:from>
    <xdr:to>
      <xdr:col>27</xdr:col>
      <xdr:colOff>163703</xdr:colOff>
      <xdr:row>5</xdr:row>
      <xdr:rowOff>5842</xdr:rowOff>
    </xdr:to>
    <xdr:sp macro="" textlink="">
      <xdr:nvSpPr>
        <xdr:cNvPr id="73" name="TextBox 72">
          <a:extLst>
            <a:ext uri="{FF2B5EF4-FFF2-40B4-BE49-F238E27FC236}">
              <a16:creationId xmlns:a16="http://schemas.microsoft.com/office/drawing/2014/main" id="{706DF0AC-7760-3529-84C1-7DE1DA7AC42C}"/>
            </a:ext>
          </a:extLst>
        </xdr:cNvPr>
        <xdr:cNvSpPr txBox="1"/>
      </xdr:nvSpPr>
      <xdr:spPr>
        <a:xfrm>
          <a:off x="4300728" y="450342"/>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1100" b="1"/>
            <a:t>KIAN BAHIA</a:t>
          </a:r>
        </a:p>
      </xdr:txBody>
    </xdr:sp>
    <xdr:clientData/>
  </xdr:twoCellAnchor>
  <xdr:twoCellAnchor>
    <xdr:from>
      <xdr:col>20</xdr:col>
      <xdr:colOff>74676</xdr:colOff>
      <xdr:row>3</xdr:row>
      <xdr:rowOff>187452</xdr:rowOff>
    </xdr:from>
    <xdr:to>
      <xdr:col>25</xdr:col>
      <xdr:colOff>122301</xdr:colOff>
      <xdr:row>6</xdr:row>
      <xdr:rowOff>22352</xdr:rowOff>
    </xdr:to>
    <xdr:sp macro="" textlink="">
      <xdr:nvSpPr>
        <xdr:cNvPr id="74" name="TextBox 73">
          <a:extLst>
            <a:ext uri="{FF2B5EF4-FFF2-40B4-BE49-F238E27FC236}">
              <a16:creationId xmlns:a16="http://schemas.microsoft.com/office/drawing/2014/main" id="{D8D06AC3-6B6D-14F8-CAE9-D213F9CF1B45}"/>
            </a:ext>
          </a:extLst>
        </xdr:cNvPr>
        <xdr:cNvSpPr txBox="1"/>
      </xdr:nvSpPr>
      <xdr:spPr>
        <a:xfrm>
          <a:off x="4456176" y="758952"/>
          <a:ext cx="1143000" cy="406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900" b="0"/>
            <a:t>Brgy. Gimalas, Balayan, Batangas</a:t>
          </a:r>
        </a:p>
      </xdr:txBody>
    </xdr:sp>
    <xdr:clientData/>
  </xdr:twoCellAnchor>
  <xdr:twoCellAnchor>
    <xdr:from>
      <xdr:col>20</xdr:col>
      <xdr:colOff>199034</xdr:colOff>
      <xdr:row>5</xdr:row>
      <xdr:rowOff>53340</xdr:rowOff>
    </xdr:from>
    <xdr:to>
      <xdr:col>29</xdr:col>
      <xdr:colOff>5359</xdr:colOff>
      <xdr:row>7</xdr:row>
      <xdr:rowOff>180340</xdr:rowOff>
    </xdr:to>
    <xdr:sp macro="" textlink="">
      <xdr:nvSpPr>
        <xdr:cNvPr id="75" name="TextBox 74">
          <a:extLst>
            <a:ext uri="{FF2B5EF4-FFF2-40B4-BE49-F238E27FC236}">
              <a16:creationId xmlns:a16="http://schemas.microsoft.com/office/drawing/2014/main" id="{79B767B2-D14D-364A-59C1-C2F275CCEC16}"/>
            </a:ext>
          </a:extLst>
        </xdr:cNvPr>
        <xdr:cNvSpPr txBox="1"/>
      </xdr:nvSpPr>
      <xdr:spPr>
        <a:xfrm>
          <a:off x="4580534" y="1005840"/>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1000" b="1"/>
            <a:t>09556622460</a:t>
          </a:r>
        </a:p>
      </xdr:txBody>
    </xdr:sp>
    <xdr:clientData/>
  </xdr:twoCellAnchor>
  <xdr:twoCellAnchor editAs="oneCell">
    <xdr:from>
      <xdr:col>1</xdr:col>
      <xdr:colOff>119253</xdr:colOff>
      <xdr:row>0</xdr:row>
      <xdr:rowOff>182880</xdr:rowOff>
    </xdr:from>
    <xdr:to>
      <xdr:col>15</xdr:col>
      <xdr:colOff>161163</xdr:colOff>
      <xdr:row>11</xdr:row>
      <xdr:rowOff>144780</xdr:rowOff>
    </xdr:to>
    <xdr:pic>
      <xdr:nvPicPr>
        <xdr:cNvPr id="77" name="Picture 76">
          <a:extLst>
            <a:ext uri="{FF2B5EF4-FFF2-40B4-BE49-F238E27FC236}">
              <a16:creationId xmlns:a16="http://schemas.microsoft.com/office/drawing/2014/main" id="{68FBAF79-1B12-D087-B946-5EDEDDD9F8D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8328" y="182880"/>
          <a:ext cx="3108960" cy="2057400"/>
        </a:xfrm>
        <a:prstGeom prst="rect">
          <a:avLst/>
        </a:prstGeom>
      </xdr:spPr>
    </xdr:pic>
    <xdr:clientData/>
  </xdr:twoCellAnchor>
  <xdr:twoCellAnchor>
    <xdr:from>
      <xdr:col>5</xdr:col>
      <xdr:colOff>20193</xdr:colOff>
      <xdr:row>2</xdr:row>
      <xdr:rowOff>69342</xdr:rowOff>
    </xdr:from>
    <xdr:to>
      <xdr:col>13</xdr:col>
      <xdr:colOff>45593</xdr:colOff>
      <xdr:row>5</xdr:row>
      <xdr:rowOff>5842</xdr:rowOff>
    </xdr:to>
    <xdr:sp macro="" textlink="">
      <xdr:nvSpPr>
        <xdr:cNvPr id="78" name="TextBox 77">
          <a:extLst>
            <a:ext uri="{FF2B5EF4-FFF2-40B4-BE49-F238E27FC236}">
              <a16:creationId xmlns:a16="http://schemas.microsoft.com/office/drawing/2014/main" id="{F6E05F62-EF5B-96D7-FD20-3022A36DAE37}"/>
            </a:ext>
          </a:extLst>
        </xdr:cNvPr>
        <xdr:cNvSpPr txBox="1"/>
      </xdr:nvSpPr>
      <xdr:spPr>
        <a:xfrm>
          <a:off x="1115568" y="450342"/>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endParaRPr lang="en-PH" sz="1100" b="1"/>
        </a:p>
      </xdr:txBody>
    </xdr:sp>
    <xdr:clientData/>
  </xdr:twoCellAnchor>
  <xdr:twoCellAnchor>
    <xdr:from>
      <xdr:col>5</xdr:col>
      <xdr:colOff>175641</xdr:colOff>
      <xdr:row>3</xdr:row>
      <xdr:rowOff>187452</xdr:rowOff>
    </xdr:from>
    <xdr:to>
      <xdr:col>11</xdr:col>
      <xdr:colOff>4191</xdr:colOff>
      <xdr:row>6</xdr:row>
      <xdr:rowOff>22352</xdr:rowOff>
    </xdr:to>
    <xdr:sp macro="" textlink="">
      <xdr:nvSpPr>
        <xdr:cNvPr id="79" name="TextBox 78">
          <a:extLst>
            <a:ext uri="{FF2B5EF4-FFF2-40B4-BE49-F238E27FC236}">
              <a16:creationId xmlns:a16="http://schemas.microsoft.com/office/drawing/2014/main" id="{89B9E16E-3096-1610-B049-F0852BA2471D}"/>
            </a:ext>
          </a:extLst>
        </xdr:cNvPr>
        <xdr:cNvSpPr txBox="1"/>
      </xdr:nvSpPr>
      <xdr:spPr>
        <a:xfrm>
          <a:off x="1271016" y="758952"/>
          <a:ext cx="1143000" cy="406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r>
            <a:rPr lang="en-PH" sz="900" b="0"/>
            <a:t>Brgy. 5, Balayan, Batangas</a:t>
          </a:r>
        </a:p>
      </xdr:txBody>
    </xdr:sp>
    <xdr:clientData/>
  </xdr:twoCellAnchor>
  <xdr:twoCellAnchor>
    <xdr:from>
      <xdr:col>6</xdr:col>
      <xdr:colOff>80924</xdr:colOff>
      <xdr:row>5</xdr:row>
      <xdr:rowOff>53340</xdr:rowOff>
    </xdr:from>
    <xdr:to>
      <xdr:col>14</xdr:col>
      <xdr:colOff>106324</xdr:colOff>
      <xdr:row>7</xdr:row>
      <xdr:rowOff>180340</xdr:rowOff>
    </xdr:to>
    <xdr:sp macro="" textlink="">
      <xdr:nvSpPr>
        <xdr:cNvPr id="80" name="TextBox 79">
          <a:extLst>
            <a:ext uri="{FF2B5EF4-FFF2-40B4-BE49-F238E27FC236}">
              <a16:creationId xmlns:a16="http://schemas.microsoft.com/office/drawing/2014/main" id="{2D0FEBCE-F6D5-FAC5-8D42-A24C0F6358EA}"/>
            </a:ext>
          </a:extLst>
        </xdr:cNvPr>
        <xdr:cNvSpPr txBox="1"/>
      </xdr:nvSpPr>
      <xdr:spPr>
        <a:xfrm>
          <a:off x="1395374" y="1005840"/>
          <a:ext cx="1778000" cy="508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25400" tIns="12700" rIns="25400" bIns="12700" rtlCol="0" anchor="ctr">
          <a:noAutofit/>
        </a:bodyPr>
        <a:lstStyle/>
        <a:p>
          <a:pPr algn="l"/>
          <a:endParaRPr lang="en-PH" sz="1000" b="1"/>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127339</xdr:colOff>
      <xdr:row>1</xdr:row>
      <xdr:rowOff>31904</xdr:rowOff>
    </xdr:from>
    <xdr:to>
      <xdr:col>2</xdr:col>
      <xdr:colOff>560476</xdr:colOff>
      <xdr:row>3</xdr:row>
      <xdr:rowOff>164329</xdr:rowOff>
    </xdr:to>
    <xdr:pic>
      <xdr:nvPicPr>
        <xdr:cNvPr id="3" name="Picture 2">
          <a:extLst>
            <a:ext uri="{FF2B5EF4-FFF2-40B4-BE49-F238E27FC236}">
              <a16:creationId xmlns:a16="http://schemas.microsoft.com/office/drawing/2014/main" id="{1C07824B-737C-40AC-96F3-394EB242B91F}"/>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339" y="218263"/>
          <a:ext cx="1468463" cy="505142"/>
        </a:xfrm>
        <a:prstGeom prst="rect">
          <a:avLst/>
        </a:prstGeom>
      </xdr:spPr>
    </xdr:pic>
    <xdr:clientData/>
  </xdr:twoCellAnchor>
  <xdr:twoCellAnchor editAs="oneCell">
    <xdr:from>
      <xdr:col>12</xdr:col>
      <xdr:colOff>175795</xdr:colOff>
      <xdr:row>0</xdr:row>
      <xdr:rowOff>189501</xdr:rowOff>
    </xdr:from>
    <xdr:to>
      <xdr:col>12</xdr:col>
      <xdr:colOff>754886</xdr:colOff>
      <xdr:row>4</xdr:row>
      <xdr:rowOff>11857</xdr:rowOff>
    </xdr:to>
    <xdr:pic>
      <xdr:nvPicPr>
        <xdr:cNvPr id="4" name="Picture 3">
          <a:extLst>
            <a:ext uri="{FF2B5EF4-FFF2-40B4-BE49-F238E27FC236}">
              <a16:creationId xmlns:a16="http://schemas.microsoft.com/office/drawing/2014/main" id="{9A78BE93-3D1B-9005-BA5C-0A6E2F4E5F5E}"/>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4688" b="93066" l="98" r="93262">
                      <a14:foregroundMark x1="30078" y1="16895" x2="70801" y2="83301"/>
                      <a14:foregroundMark x1="46094" y1="6250" x2="72754" y2="85156"/>
                      <a14:foregroundMark x1="72754" y1="85156" x2="12988" y2="25391"/>
                      <a14:foregroundMark x1="12988" y1="25391" x2="42871" y2="4688"/>
                      <a14:foregroundMark x1="11133" y1="29102" x2="11133" y2="71875"/>
                      <a14:foregroundMark x1="11621" y1="56836" x2="17383" y2="75586"/>
                      <a14:foregroundMark x1="12012" y1="33203" x2="9961" y2="35645"/>
                      <a14:foregroundMark x1="11133" y1="29492" x2="9570" y2="62891"/>
                      <a14:foregroundMark x1="73242" y1="25391" x2="37109" y2="91016"/>
                      <a14:foregroundMark x1="62207" y1="46582" x2="42871" y2="22559"/>
                      <a14:foregroundMark x1="65430" y1="47070" x2="88086" y2="58008"/>
                      <a14:foregroundMark x1="78613" y1="43750" x2="60547" y2="31152"/>
                      <a14:foregroundMark x1="69141" y1="19336" x2="76563" y2="22559"/>
                      <a14:foregroundMark x1="75781" y1="18945" x2="78613" y2="21387"/>
                      <a14:foregroundMark x1="78613" y1="21387" x2="70020" y2="15625"/>
                      <a14:foregroundMark x1="76953" y1="20117" x2="82324" y2="28320"/>
                      <a14:foregroundMark x1="86035" y1="36035" x2="90918" y2="51563"/>
                      <a14:foregroundMark x1="91406" y1="44141" x2="88867" y2="71484"/>
                      <a14:foregroundMark x1="90527" y1="56836" x2="30078" y2="56836"/>
                      <a14:foregroundMark x1="19434" y1="48633" x2="43262" y2="80078"/>
                      <a14:foregroundMark x1="49023" y1="68652" x2="48633" y2="87402"/>
                      <a14:foregroundMark x1="60938" y1="85352" x2="26758" y2="87402"/>
                      <a14:foregroundMark x1="23926" y1="86133" x2="35449" y2="77148"/>
                      <a14:foregroundMark x1="91406" y1="57617" x2="93457" y2="44629"/>
                      <a14:foregroundMark x1="69141" y1="88574" x2="57227" y2="86523"/>
                      <a14:foregroundMark x1="46973" y1="76758" x2="50195" y2="73926"/>
                      <a14:foregroundMark x1="6250" y1="39258" x2="6250" y2="58398"/>
                      <a14:foregroundMark x1="6250" y1="58398" x2="9570" y2="45410"/>
                      <a14:foregroundMark x1="9570" y1="45410" x2="7910" y2="49902"/>
                      <a14:foregroundMark x1="22949" y1="42480" x2="22949" y2="42480"/>
                      <a14:foregroundMark x1="98" y1="47070" x2="5859" y2="47461"/>
                      <a14:foregroundMark x1="14063" y1="38086" x2="75781" y2="45020"/>
                      <a14:foregroundMark x1="72461" y1="37695" x2="83984" y2="52734"/>
                      <a14:foregroundMark x1="78223" y1="43750" x2="76563" y2="37695"/>
                      <a14:foregroundMark x1="30957" y1="22168" x2="18164" y2="41699"/>
                      <a14:foregroundMark x1="18164" y1="41699" x2="30078" y2="70215"/>
                      <a14:foregroundMark x1="70801" y1="61328" x2="79883" y2="63770"/>
                      <a14:foregroundMark x1="53516" y1="70215" x2="67090" y2="85352"/>
                      <a14:foregroundMark x1="41992" y1="27930" x2="24707" y2="46582"/>
                      <a14:foregroundMark x1="62598" y1="22949" x2="50684" y2="30371"/>
                      <a14:foregroundMark x1="74902" y1="81250" x2="35059" y2="85352"/>
                      <a14:foregroundMark x1="39160" y1="85352" x2="60938" y2="80469"/>
                      <a14:foregroundMark x1="67090" y1="84961" x2="60156" y2="87402"/>
                      <a14:foregroundMark x1="49023" y1="89844" x2="38281" y2="91406"/>
                      <a14:foregroundMark x1="55957" y1="93066" x2="47363" y2="93066"/>
                    </a14:backgroundRemoval>
                  </a14:imgEffect>
                </a14:imgLayer>
              </a14:imgProps>
            </a:ext>
            <a:ext uri="{28A0092B-C50C-407E-A947-70E740481C1C}">
              <a14:useLocalDpi xmlns:a14="http://schemas.microsoft.com/office/drawing/2010/main" val="0"/>
            </a:ext>
          </a:extLst>
        </a:blip>
        <a:stretch>
          <a:fillRect/>
        </a:stretch>
      </xdr:blipFill>
      <xdr:spPr>
        <a:xfrm>
          <a:off x="9032859" y="189501"/>
          <a:ext cx="579091" cy="581194"/>
        </a:xfrm>
        <a:prstGeom prst="rect">
          <a:avLst/>
        </a:prstGeom>
      </xdr:spPr>
    </xdr:pic>
    <xdr:clientData/>
  </xdr:twoCellAnchor>
  <xdr:twoCellAnchor editAs="absolute">
    <xdr:from>
      <xdr:col>4</xdr:col>
      <xdr:colOff>1758</xdr:colOff>
      <xdr:row>9</xdr:row>
      <xdr:rowOff>162239</xdr:rowOff>
    </xdr:from>
    <xdr:to>
      <xdr:col>13</xdr:col>
      <xdr:colOff>0</xdr:colOff>
      <xdr:row>21</xdr:row>
      <xdr:rowOff>140198</xdr:rowOff>
    </xdr:to>
    <xdr:graphicFrame macro="">
      <xdr:nvGraphicFramePr>
        <xdr:cNvPr id="5" name="Chart 4">
          <a:extLst>
            <a:ext uri="{FF2B5EF4-FFF2-40B4-BE49-F238E27FC236}">
              <a16:creationId xmlns:a16="http://schemas.microsoft.com/office/drawing/2014/main" id="{7468E94F-027C-49D3-B437-F241B0ECEA1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4</xdr:col>
      <xdr:colOff>12186</xdr:colOff>
      <xdr:row>21</xdr:row>
      <xdr:rowOff>15165</xdr:rowOff>
    </xdr:from>
    <xdr:to>
      <xdr:col>8</xdr:col>
      <xdr:colOff>265254</xdr:colOff>
      <xdr:row>32</xdr:row>
      <xdr:rowOff>156741</xdr:rowOff>
    </xdr:to>
    <xdr:graphicFrame macro="">
      <xdr:nvGraphicFramePr>
        <xdr:cNvPr id="7" name="Chart 6">
          <a:extLst>
            <a:ext uri="{FF2B5EF4-FFF2-40B4-BE49-F238E27FC236}">
              <a16:creationId xmlns:a16="http://schemas.microsoft.com/office/drawing/2014/main" id="{E3E3F684-D592-4DC7-A960-5DE15D46080A}"/>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8</xdr:col>
      <xdr:colOff>287927</xdr:colOff>
      <xdr:row>21</xdr:row>
      <xdr:rowOff>12057</xdr:rowOff>
    </xdr:from>
    <xdr:to>
      <xdr:col>12</xdr:col>
      <xdr:colOff>771646</xdr:colOff>
      <xdr:row>32</xdr:row>
      <xdr:rowOff>156740</xdr:rowOff>
    </xdr:to>
    <xdr:graphicFrame macro="">
      <xdr:nvGraphicFramePr>
        <xdr:cNvPr id="8" name="Chart 7">
          <a:extLst>
            <a:ext uri="{FF2B5EF4-FFF2-40B4-BE49-F238E27FC236}">
              <a16:creationId xmlns:a16="http://schemas.microsoft.com/office/drawing/2014/main" id="{1B6517D3-C5A7-4EC7-B68E-3113A3F9A56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xdr:col>
      <xdr:colOff>18889</xdr:colOff>
      <xdr:row>6</xdr:row>
      <xdr:rowOff>2627</xdr:rowOff>
    </xdr:from>
    <xdr:to>
      <xdr:col>3</xdr:col>
      <xdr:colOff>10748</xdr:colOff>
      <xdr:row>18</xdr:row>
      <xdr:rowOff>165891</xdr:rowOff>
    </xdr:to>
    <mc:AlternateContent xmlns:mc="http://schemas.openxmlformats.org/markup-compatibility/2006" xmlns:a14="http://schemas.microsoft.com/office/drawing/2010/main">
      <mc:Choice Requires="a14">
        <xdr:graphicFrame macro="">
          <xdr:nvGraphicFramePr>
            <xdr:cNvPr id="9" name="ADDRESS 1">
              <a:extLst>
                <a:ext uri="{FF2B5EF4-FFF2-40B4-BE49-F238E27FC236}">
                  <a16:creationId xmlns:a16="http://schemas.microsoft.com/office/drawing/2014/main" id="{6DD0CF27-7555-4A05-A009-FDA0E11FD92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DDRESS 1"/>
            </a:graphicData>
          </a:graphic>
        </xdr:graphicFrame>
      </mc:Choice>
      <mc:Fallback xmlns="">
        <xdr:sp macro="" textlink="">
          <xdr:nvSpPr>
            <xdr:cNvPr id="0" name=""/>
            <xdr:cNvSpPr>
              <a:spLocks noTextEdit="1"/>
            </xdr:cNvSpPr>
          </xdr:nvSpPr>
          <xdr:spPr>
            <a:xfrm>
              <a:off x="262306" y="1145627"/>
              <a:ext cx="1558192" cy="2449264"/>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19471</xdr:colOff>
      <xdr:row>18</xdr:row>
      <xdr:rowOff>168798</xdr:rowOff>
    </xdr:from>
    <xdr:to>
      <xdr:col>3</xdr:col>
      <xdr:colOff>11330</xdr:colOff>
      <xdr:row>24</xdr:row>
      <xdr:rowOff>138398</xdr:rowOff>
    </xdr:to>
    <mc:AlternateContent xmlns:mc="http://schemas.openxmlformats.org/markup-compatibility/2006" xmlns:a14="http://schemas.microsoft.com/office/drawing/2010/main">
      <mc:Choice Requires="a14">
        <xdr:graphicFrame macro="">
          <xdr:nvGraphicFramePr>
            <xdr:cNvPr id="10" name="CIVIL STATUS">
              <a:extLst>
                <a:ext uri="{FF2B5EF4-FFF2-40B4-BE49-F238E27FC236}">
                  <a16:creationId xmlns:a16="http://schemas.microsoft.com/office/drawing/2014/main" id="{78F3930F-CF5D-4576-BD0B-3413F0D491AC}"/>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CIVIL STATUS"/>
            </a:graphicData>
          </a:graphic>
        </xdr:graphicFrame>
      </mc:Choice>
      <mc:Fallback xmlns="">
        <xdr:sp macro="" textlink="">
          <xdr:nvSpPr>
            <xdr:cNvPr id="0" name=""/>
            <xdr:cNvSpPr>
              <a:spLocks noTextEdit="1"/>
            </xdr:cNvSpPr>
          </xdr:nvSpPr>
          <xdr:spPr>
            <a:xfrm>
              <a:off x="262888" y="3597798"/>
              <a:ext cx="1558192" cy="111260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1</xdr:col>
      <xdr:colOff>1</xdr:colOff>
      <xdr:row>24</xdr:row>
      <xdr:rowOff>154257</xdr:rowOff>
    </xdr:from>
    <xdr:to>
      <xdr:col>3</xdr:col>
      <xdr:colOff>8141</xdr:colOff>
      <xdr:row>35</xdr:row>
      <xdr:rowOff>62527</xdr:rowOff>
    </xdr:to>
    <mc:AlternateContent xmlns:mc="http://schemas.openxmlformats.org/markup-compatibility/2006" xmlns:a14="http://schemas.microsoft.com/office/drawing/2010/main">
      <mc:Choice Requires="a14">
        <xdr:graphicFrame macro="">
          <xdr:nvGraphicFramePr>
            <xdr:cNvPr id="11" name=" OCCUPATION">
              <a:extLst>
                <a:ext uri="{FF2B5EF4-FFF2-40B4-BE49-F238E27FC236}">
                  <a16:creationId xmlns:a16="http://schemas.microsoft.com/office/drawing/2014/main" id="{2CD70735-A8C5-43B4-BDD3-C184BCDA61BE}"/>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 OCCUPATION"/>
            </a:graphicData>
          </a:graphic>
        </xdr:graphicFrame>
      </mc:Choice>
      <mc:Fallback xmlns="">
        <xdr:sp macro="" textlink="">
          <xdr:nvSpPr>
            <xdr:cNvPr id="0" name=""/>
            <xdr:cNvSpPr>
              <a:spLocks noTextEdit="1"/>
            </xdr:cNvSpPr>
          </xdr:nvSpPr>
          <xdr:spPr>
            <a:xfrm>
              <a:off x="243418" y="4726257"/>
              <a:ext cx="1574473" cy="200377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156270</xdr:colOff>
      <xdr:row>8</xdr:row>
      <xdr:rowOff>96738</xdr:rowOff>
    </xdr:from>
    <xdr:to>
      <xdr:col>10</xdr:col>
      <xdr:colOff>186036</xdr:colOff>
      <xdr:row>10</xdr:row>
      <xdr:rowOff>66972</xdr:rowOff>
    </xdr:to>
    <xdr:sp macro="" textlink="">
      <xdr:nvSpPr>
        <xdr:cNvPr id="2" name="TextBox 1">
          <a:extLst>
            <a:ext uri="{FF2B5EF4-FFF2-40B4-BE49-F238E27FC236}">
              <a16:creationId xmlns:a16="http://schemas.microsoft.com/office/drawing/2014/main" id="{081D5D61-643A-3265-72C7-51C4A38042D3}"/>
            </a:ext>
          </a:extLst>
        </xdr:cNvPr>
        <xdr:cNvSpPr txBox="1"/>
      </xdr:nvSpPr>
      <xdr:spPr>
        <a:xfrm>
          <a:off x="4308575" y="1644551"/>
          <a:ext cx="3155156" cy="357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a:latin typeface="Segoe UI" panose="020B0502040204020203" pitchFamily="34" charset="0"/>
              <a:cs typeface="Segoe UI" panose="020B0502040204020203" pitchFamily="34" charset="0"/>
            </a:rPr>
            <a:t>Geographic Distribution by Barangay</a:t>
          </a:r>
          <a:endParaRPr lang="en-PH" sz="1200">
            <a:solidFill>
              <a:schemeClr val="tx2"/>
            </a:solidFill>
            <a:latin typeface="Segoe UI" panose="020B0502040204020203" pitchFamily="34" charset="0"/>
            <a:cs typeface="Segoe UI" panose="020B0502040204020203" pitchFamily="34" charset="0"/>
          </a:endParaRPr>
        </a:p>
      </xdr:txBody>
    </xdr:sp>
    <xdr:clientData/>
  </xdr:twoCellAnchor>
  <xdr:twoCellAnchor>
    <xdr:from>
      <xdr:col>4</xdr:col>
      <xdr:colOff>141387</xdr:colOff>
      <xdr:row>20</xdr:row>
      <xdr:rowOff>171153</xdr:rowOff>
    </xdr:from>
    <xdr:to>
      <xdr:col>7</xdr:col>
      <xdr:colOff>290214</xdr:colOff>
      <xdr:row>22</xdr:row>
      <xdr:rowOff>141387</xdr:rowOff>
    </xdr:to>
    <xdr:sp macro="" textlink="">
      <xdr:nvSpPr>
        <xdr:cNvPr id="6" name="TextBox 5">
          <a:extLst>
            <a:ext uri="{FF2B5EF4-FFF2-40B4-BE49-F238E27FC236}">
              <a16:creationId xmlns:a16="http://schemas.microsoft.com/office/drawing/2014/main" id="{CCEA9D7C-35A7-4407-8BD2-D1BC74BFF866}"/>
            </a:ext>
          </a:extLst>
        </xdr:cNvPr>
        <xdr:cNvSpPr txBox="1"/>
      </xdr:nvSpPr>
      <xdr:spPr>
        <a:xfrm>
          <a:off x="2730996" y="4040684"/>
          <a:ext cx="2492870" cy="357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a:t>Employment Demographics</a:t>
          </a:r>
          <a:endParaRPr lang="en-PH" sz="1200">
            <a:solidFill>
              <a:schemeClr val="tx2"/>
            </a:solidFill>
            <a:latin typeface="Segoe UI" panose="020B0502040204020203" pitchFamily="34" charset="0"/>
            <a:cs typeface="Segoe UI" panose="020B0502040204020203" pitchFamily="34" charset="0"/>
          </a:endParaRPr>
        </a:p>
      </xdr:txBody>
    </xdr:sp>
    <xdr:clientData/>
  </xdr:twoCellAnchor>
  <xdr:twoCellAnchor>
    <xdr:from>
      <xdr:col>8</xdr:col>
      <xdr:colOff>461367</xdr:colOff>
      <xdr:row>20</xdr:row>
      <xdr:rowOff>186035</xdr:rowOff>
    </xdr:from>
    <xdr:to>
      <xdr:col>11</xdr:col>
      <xdr:colOff>610194</xdr:colOff>
      <xdr:row>22</xdr:row>
      <xdr:rowOff>156269</xdr:rowOff>
    </xdr:to>
    <xdr:sp macro="" textlink="">
      <xdr:nvSpPr>
        <xdr:cNvPr id="12" name="TextBox 11">
          <a:extLst>
            <a:ext uri="{FF2B5EF4-FFF2-40B4-BE49-F238E27FC236}">
              <a16:creationId xmlns:a16="http://schemas.microsoft.com/office/drawing/2014/main" id="{A78F997D-7A0D-47CF-907B-7E68764B2076}"/>
            </a:ext>
          </a:extLst>
        </xdr:cNvPr>
        <xdr:cNvSpPr txBox="1"/>
      </xdr:nvSpPr>
      <xdr:spPr>
        <a:xfrm>
          <a:off x="6176367" y="4055566"/>
          <a:ext cx="2492870" cy="357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a:t>Civil Status Breakdown</a:t>
          </a:r>
          <a:endParaRPr lang="en-PH" sz="1200">
            <a:solidFill>
              <a:schemeClr val="tx2"/>
            </a:solidFill>
            <a:latin typeface="Segoe UI" panose="020B0502040204020203" pitchFamily="34" charset="0"/>
            <a:cs typeface="Segoe UI" panose="020B0502040204020203" pitchFamily="34" charset="0"/>
          </a:endParaRPr>
        </a:p>
      </xdr:txBody>
    </xdr:sp>
    <xdr:clientData/>
  </xdr:twoCellAnchor>
  <xdr:twoCellAnchor>
    <xdr:from>
      <xdr:col>3</xdr:col>
      <xdr:colOff>669727</xdr:colOff>
      <xdr:row>33</xdr:row>
      <xdr:rowOff>14883</xdr:rowOff>
    </xdr:from>
    <xdr:to>
      <xdr:col>7</xdr:col>
      <xdr:colOff>453927</xdr:colOff>
      <xdr:row>34</xdr:row>
      <xdr:rowOff>178594</xdr:rowOff>
    </xdr:to>
    <xdr:sp macro="" textlink="">
      <xdr:nvSpPr>
        <xdr:cNvPr id="13" name="TextBox 12">
          <a:extLst>
            <a:ext uri="{FF2B5EF4-FFF2-40B4-BE49-F238E27FC236}">
              <a16:creationId xmlns:a16="http://schemas.microsoft.com/office/drawing/2014/main" id="{48E6707C-75EF-4C11-90F5-F6164C093A08}"/>
            </a:ext>
          </a:extLst>
        </xdr:cNvPr>
        <xdr:cNvSpPr txBox="1"/>
      </xdr:nvSpPr>
      <xdr:spPr>
        <a:xfrm>
          <a:off x="2477989" y="6399610"/>
          <a:ext cx="2909590" cy="357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a:solidFill>
                <a:srgbClr val="C00000"/>
              </a:solidFill>
            </a:rPr>
            <a:t>Urgent Audit: Missing Emergency Contacts</a:t>
          </a:r>
          <a:endParaRPr lang="en-PH" sz="1200">
            <a:solidFill>
              <a:srgbClr val="C00000"/>
            </a:solidFill>
            <a:latin typeface="Segoe UI" panose="020B0502040204020203" pitchFamily="34" charset="0"/>
            <a:cs typeface="Segoe UI"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yan Almario" refreshedDate="46161.087977662035" missingItemsLimit="0" createdVersion="8" refreshedVersion="8" minRefreshableVersion="3" recordCount="3">
  <cacheSource type="worksheet">
    <worksheetSource name="tblResidents"/>
  </cacheSource>
  <cacheFields count="15">
    <cacheField name="ID NO." numFmtId="0">
      <sharedItems/>
    </cacheField>
    <cacheField name="SURNAME" numFmtId="0">
      <sharedItems count="3">
        <s v="ALDAY"/>
        <s v="ALMARIO"/>
        <s v="BAHIA"/>
      </sharedItems>
    </cacheField>
    <cacheField name="FIRSNAME" numFmtId="0">
      <sharedItems count="3">
        <s v="ERROL"/>
        <s v="RYAN MICAHEL"/>
        <s v="KIAN"/>
      </sharedItems>
    </cacheField>
    <cacheField name="MIDDLENAME" numFmtId="0">
      <sharedItems containsBlank="1"/>
    </cacheField>
    <cacheField name="BIRTHDATE" numFmtId="164">
      <sharedItems containsSemiMixedTypes="0" containsNonDate="0" containsDate="1" containsString="0" minDate="1999-12-16T00:00:00" maxDate="2004-11-05T00:00:00"/>
    </cacheField>
    <cacheField name="AGE" numFmtId="0">
      <sharedItems containsSemiMixedTypes="0" containsString="0" containsNumber="1" containsInteger="1" minValue="21" maxValue="26" count="2">
        <n v="26"/>
        <n v="21"/>
      </sharedItems>
      <fieldGroup base="5">
        <rangePr autoStart="0" autoEnd="0" startNum="20" endNum="60" groupInterval="10"/>
        <groupItems count="6">
          <s v="&lt;20"/>
          <s v="20-29"/>
          <s v="30-39"/>
          <s v="40-49"/>
          <s v="50-60"/>
          <s v="&gt;60"/>
        </groupItems>
      </fieldGroup>
    </cacheField>
    <cacheField name="CIVIL STATUS" numFmtId="0">
      <sharedItems count="2">
        <s v="SINGLE"/>
        <s v="MARRIED"/>
      </sharedItems>
    </cacheField>
    <cacheField name="ADDRESS" numFmtId="0">
      <sharedItems count="3">
        <s v="Lucban Pook"/>
        <s v="Brgy. 7"/>
        <s v="Lanatan"/>
      </sharedItems>
    </cacheField>
    <cacheField name="CONTACT NO." numFmtId="0">
      <sharedItems containsString="0" containsBlank="1" containsNumber="1" containsInteger="1" minValue="9186519102" maxValue="9264469102"/>
    </cacheField>
    <cacheField name="EMERGENCY CONTACT PERSON" numFmtId="0">
      <sharedItems containsBlank="1"/>
    </cacheField>
    <cacheField name="EMERGENCY CONTACT NO." numFmtId="49">
      <sharedItems containsBlank="1" count="2">
        <s v="09556622460"/>
        <m/>
      </sharedItems>
    </cacheField>
    <cacheField name=" OCCUPATION" numFmtId="49">
      <sharedItems count="2">
        <s v="NONE"/>
        <s v="FARMER"/>
      </sharedItems>
    </cacheField>
    <cacheField name="DATE ISSUED" numFmtId="164">
      <sharedItems containsSemiMixedTypes="0" containsNonDate="0" containsDate="1" containsString="0" minDate="2026-03-11T00:00:00" maxDate="2026-05-19T00:00:00"/>
    </cacheField>
    <cacheField name="HELPER YEAR" numFmtId="0">
      <sharedItems containsSemiMixedTypes="0" containsString="0" containsNumber="1" containsInteger="1" minValue="2026" maxValue="2026"/>
    </cacheField>
    <cacheField name="HELPER MONTH" numFmtId="0">
      <sharedItems/>
    </cacheField>
  </cacheFields>
  <extLst>
    <ext xmlns:x14="http://schemas.microsoft.com/office/spreadsheetml/2009/9/main" uri="{725AE2AE-9491-48be-B2B4-4EB974FC3084}">
      <x14:pivotCacheDefinition pivotCacheId="2342079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
  <r>
    <s v="2026-06"/>
    <x v="0"/>
    <x v="0"/>
    <s v="LASHERAS"/>
    <d v="1999-12-16T00:00:00"/>
    <x v="0"/>
    <x v="0"/>
    <x v="0"/>
    <n v="9186519102"/>
    <s v="KIAN BAHIA"/>
    <x v="0"/>
    <x v="0"/>
    <d v="2026-03-11T00:00:00"/>
    <n v="2026"/>
    <s v="Mar"/>
  </r>
  <r>
    <s v="2026-07"/>
    <x v="1"/>
    <x v="1"/>
    <s v="ALDAY"/>
    <d v="2004-11-04T00:00:00"/>
    <x v="1"/>
    <x v="1"/>
    <x v="1"/>
    <m/>
    <m/>
    <x v="1"/>
    <x v="1"/>
    <d v="2026-05-14T00:00:00"/>
    <n v="2026"/>
    <s v="May"/>
  </r>
  <r>
    <s v="2026-08"/>
    <x v="2"/>
    <x v="2"/>
    <m/>
    <d v="2004-07-04T00:00:00"/>
    <x v="1"/>
    <x v="0"/>
    <x v="2"/>
    <n v="9264469102"/>
    <m/>
    <x v="1"/>
    <x v="0"/>
    <d v="2026-05-18T00:00:00"/>
    <n v="2026"/>
    <s v="May"/>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Q3:R5" firstHeaderRow="1" firstDataRow="1" firstDataCol="1"/>
  <pivotFields count="15">
    <pivotField dataField="1" multipleItemSelectionAllowed="1" showAll="0"/>
    <pivotField multipleItemSelectionAllowed="1" showAll="0"/>
    <pivotField multipleItemSelectionAllowed="1" showAll="0"/>
    <pivotField multipleItemSelectionAllowed="1" showAll="0"/>
    <pivotField numFmtId="164" multipleItemSelectionAllowed="1" showAll="0"/>
    <pivotField multipleItemSelectionAllowed="1" showAll="0"/>
    <pivotField axis="axisRow" multipleItemSelectionAllowed="1" showAll="0">
      <items count="3">
        <item h="1" x="1"/>
        <item x="0"/>
        <item t="default"/>
      </items>
    </pivotField>
    <pivotField multipleItemSelectionAllowed="1" showAll="0">
      <items count="4">
        <item x="1"/>
        <item x="2"/>
        <item x="0"/>
        <item t="default"/>
      </items>
    </pivotField>
    <pivotField multipleItemSelectionAllowed="1" showAll="0"/>
    <pivotField multipleItemSelectionAllowed="1" showAll="0"/>
    <pivotField multipleItemSelectionAllowed="1" showAll="0"/>
    <pivotField multipleItemSelectionAllowed="1" showAll="0">
      <items count="3">
        <item x="1"/>
        <item x="0"/>
        <item t="default"/>
      </items>
    </pivotField>
    <pivotField numFmtId="164" multipleItemSelectionAllowed="1" showAll="0"/>
    <pivotField multipleItemSelectionAllowed="1" showAll="0"/>
    <pivotField multipleItemSelectionAllowed="1" showAll="0"/>
  </pivotFields>
  <rowFields count="1">
    <field x="6"/>
  </rowFields>
  <rowItems count="2">
    <i>
      <x v="1"/>
    </i>
    <i t="grand">
      <x/>
    </i>
  </rowItems>
  <colItems count="1">
    <i/>
  </colItems>
  <dataFields count="1">
    <dataField name="Count of ID NO." fld="0" subtotal="count" baseField="0" baseItem="0"/>
  </dataField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6" count="1" selected="0">
            <x v="0"/>
          </reference>
        </references>
      </pivotArea>
    </chartFormat>
    <chartFormat chart="3" format="6">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6" firstHeaderRow="1" firstDataRow="1" firstDataCol="1"/>
  <pivotFields count="15">
    <pivotField dataField="1" multipleItemSelectionAllowed="1" showAll="0"/>
    <pivotField multipleItemSelectionAllowed="1" showAll="0"/>
    <pivotField multipleItemSelectionAllowed="1" showAll="0"/>
    <pivotField multipleItemSelectionAllowed="1" showAll="0"/>
    <pivotField numFmtId="164" multipleItemSelectionAllowed="1" showAll="0"/>
    <pivotField multipleItemSelectionAllowed="1" showAll="0"/>
    <pivotField multipleItemSelectionAllowed="1" showAll="0">
      <items count="3">
        <item h="1" x="1"/>
        <item x="0"/>
        <item t="default"/>
      </items>
    </pivotField>
    <pivotField axis="axisRow" multipleItemSelectionAllowed="1" showAll="0" sortType="descending">
      <items count="4">
        <item x="2"/>
        <item x="0"/>
        <item x="1"/>
        <item t="default"/>
      </items>
      <autoSortScope>
        <pivotArea dataOnly="0" outline="0" fieldPosition="0">
          <references count="1">
            <reference field="4294967294" count="1" selected="0">
              <x v="0"/>
            </reference>
          </references>
        </pivotArea>
      </autoSortScope>
    </pivotField>
    <pivotField multipleItemSelectionAllowed="1" showAll="0"/>
    <pivotField multipleItemSelectionAllowed="1" showAll="0"/>
    <pivotField multipleItemSelectionAllowed="1" showAll="0"/>
    <pivotField multipleItemSelectionAllowed="1" showAll="0">
      <items count="3">
        <item x="1"/>
        <item x="0"/>
        <item t="default"/>
      </items>
    </pivotField>
    <pivotField numFmtId="164" multipleItemSelectionAllowed="1" showAll="0"/>
    <pivotField multipleItemSelectionAllowed="1" showAll="0"/>
    <pivotField multipleItemSelectionAllowed="1" showAll="0"/>
  </pivotFields>
  <rowFields count="1">
    <field x="7"/>
  </rowFields>
  <rowItems count="3">
    <i>
      <x v="1"/>
    </i>
    <i>
      <x/>
    </i>
    <i t="grand">
      <x/>
    </i>
  </rowItems>
  <colItems count="1">
    <i/>
  </colItems>
  <dataFields count="1">
    <dataField name="Count of ID NO." fld="0"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15">
  <location ref="E3:G6" firstHeaderRow="1" firstDataRow="2" firstDataCol="1"/>
  <pivotFields count="15">
    <pivotField dataField="1" multipleItemSelectionAllowed="1" showAll="0"/>
    <pivotField multipleItemSelectionAllowed="1" showAll="0"/>
    <pivotField multipleItemSelectionAllowed="1" showAll="0"/>
    <pivotField multipleItemSelectionAllowed="1" showAll="0"/>
    <pivotField numFmtId="164" multipleItemSelectionAllowed="1" showAll="0"/>
    <pivotField axis="axisRow" multipleItemSelectionAllowed="1" showAll="0">
      <items count="7">
        <item x="0"/>
        <item x="1"/>
        <item x="2"/>
        <item x="3"/>
        <item x="4"/>
        <item x="5"/>
        <item t="default"/>
      </items>
    </pivotField>
    <pivotField multipleItemSelectionAllowed="1" showAll="0">
      <items count="3">
        <item h="1" x="1"/>
        <item x="0"/>
        <item t="default"/>
      </items>
    </pivotField>
    <pivotField multipleItemSelectionAllowed="1" showAll="0">
      <items count="4">
        <item x="1"/>
        <item x="2"/>
        <item x="0"/>
        <item t="default"/>
      </items>
    </pivotField>
    <pivotField multipleItemSelectionAllowed="1" showAll="0"/>
    <pivotField multipleItemSelectionAllowed="1" showAll="0"/>
    <pivotField multipleItemSelectionAllowed="1" showAll="0"/>
    <pivotField axis="axisCol" multipleItemSelectionAllowed="1" showAll="0">
      <items count="3">
        <item x="0"/>
        <item x="1"/>
        <item t="default"/>
      </items>
    </pivotField>
    <pivotField numFmtId="164" multipleItemSelectionAllowed="1" showAll="0"/>
    <pivotField multipleItemSelectionAllowed="1" showAll="0"/>
    <pivotField multipleItemSelectionAllowed="1" showAll="0"/>
  </pivotFields>
  <rowFields count="1">
    <field x="5"/>
  </rowFields>
  <rowItems count="2">
    <i>
      <x v="1"/>
    </i>
    <i t="grand">
      <x/>
    </i>
  </rowItems>
  <colFields count="1">
    <field x="11"/>
  </colFields>
  <colItems count="2">
    <i>
      <x/>
    </i>
    <i t="grand">
      <x/>
    </i>
  </colItems>
  <dataFields count="1">
    <dataField name="Count of ID NO." fld="0" subtotal="count" baseField="0" baseItem="0"/>
  </dataFields>
  <chartFormats count="3">
    <chartFormat chart="10" format="4" series="1">
      <pivotArea type="data" outline="0" fieldPosition="0">
        <references count="2">
          <reference field="4294967294" count="1" selected="0">
            <x v="0"/>
          </reference>
          <reference field="11" count="1" selected="0">
            <x v="0"/>
          </reference>
        </references>
      </pivotArea>
    </chartFormat>
    <chartFormat chart="10" format="5" series="1">
      <pivotArea type="data" outline="0" fieldPosition="0">
        <references count="2">
          <reference field="4294967294" count="1" selected="0">
            <x v="0"/>
          </reference>
          <reference field="11" count="1" selected="0">
            <x v="1"/>
          </reference>
        </references>
      </pivotArea>
    </chartFormat>
    <chartFormat chart="1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3:L10" firstHeaderRow="1" firstDataRow="1" firstDataCol="1" rowPageCount="1" colPageCount="1"/>
  <pivotFields count="15">
    <pivotField multipleItemSelectionAllowed="1" showAll="0"/>
    <pivotField axis="axisRow" multipleItemSelectionAllowed="1" showAll="0" sortType="ascending">
      <items count="4">
        <item x="0"/>
        <item sd="0" x="1"/>
        <item x="2"/>
        <item t="default"/>
      </items>
      <autoSortScope>
        <pivotArea dataOnly="0" outline="0" fieldPosition="0">
          <references count="1">
            <reference field="4294967294" count="1" selected="0">
              <x v="0"/>
            </reference>
          </references>
        </pivotArea>
      </autoSortScope>
    </pivotField>
    <pivotField axis="axisRow" multipleItemSelectionAllowed="1" showAll="0">
      <items count="4">
        <item x="0"/>
        <item sd="0" x="1"/>
        <item x="2"/>
        <item t="default"/>
      </items>
    </pivotField>
    <pivotField multipleItemSelectionAllowed="1" showAll="0"/>
    <pivotField numFmtId="164" multipleItemSelectionAllowed="1" showAll="0"/>
    <pivotField multipleItemSelectionAllowed="1" showAll="0"/>
    <pivotField multipleItemSelectionAllowed="1" showAll="0">
      <items count="3">
        <item h="1" x="1"/>
        <item x="0"/>
        <item t="default"/>
      </items>
    </pivotField>
    <pivotField axis="axisRow" multipleItemSelectionAllowed="1" showAll="0">
      <items count="4">
        <item x="2"/>
        <item x="0"/>
        <item x="1"/>
        <item t="default"/>
      </items>
    </pivotField>
    <pivotField multipleItemSelectionAllowed="1" showAll="0"/>
    <pivotField multipleItemSelectionAllowed="1" showAll="0"/>
    <pivotField axis="axisPage" dataField="1" multipleItemSelectionAllowed="1" showAll="0">
      <items count="3">
        <item x="0"/>
        <item x="1"/>
        <item t="default"/>
      </items>
    </pivotField>
    <pivotField multipleItemSelectionAllowed="1" showAll="0">
      <items count="3">
        <item x="1"/>
        <item x="0"/>
        <item t="default"/>
      </items>
    </pivotField>
    <pivotField numFmtId="164" multipleItemSelectionAllowed="1" showAll="0"/>
    <pivotField multipleItemSelectionAllowed="1" showAll="0"/>
    <pivotField multipleItemSelectionAllowed="1" showAll="0"/>
  </pivotFields>
  <rowFields count="3">
    <field x="1"/>
    <field x="2"/>
    <field x="7"/>
  </rowFields>
  <rowItems count="7">
    <i>
      <x v="2"/>
    </i>
    <i r="1">
      <x v="2"/>
    </i>
    <i r="2">
      <x/>
    </i>
    <i>
      <x/>
    </i>
    <i r="1">
      <x/>
    </i>
    <i r="2">
      <x v="1"/>
    </i>
    <i t="grand">
      <x/>
    </i>
  </rowItems>
  <colItems count="1">
    <i/>
  </colItems>
  <pageFields count="1">
    <pageField fld="10" hier="-1"/>
  </pageFields>
  <dataFields count="1">
    <dataField name="Count of EMERGENCY CONTACT NO." fld="10" subtotal="count" baseField="0" baseItem="0"/>
  </dataFields>
  <pivotTableStyleInfo name="PivotStyleLight16" showRowHeaders="0" showColHeaders="0"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DDRESS1" sourceName="ADDRESS">
  <pivotTables>
    <pivotTable tabId="7" name="PivotTable4"/>
    <pivotTable tabId="7" name="PivotTable1"/>
    <pivotTable tabId="7" name="PivotTable2"/>
    <pivotTable tabId="7" name="PivotTable3"/>
  </pivotTables>
  <data>
    <tabular pivotCacheId="234207918">
      <items count="3">
        <i x="2" s="1"/>
        <i x="0" s="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IVIL_STATUS" sourceName="CIVIL STATUS">
  <pivotTables>
    <pivotTable tabId="7" name="PivotTable4"/>
    <pivotTable tabId="7" name="PivotTable1"/>
    <pivotTable tabId="7" name="PivotTable2"/>
    <pivotTable tabId="7" name="PivotTable3"/>
  </pivotTables>
  <data>
    <tabular pivotCacheId="234207918">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OCCUPATION" sourceName=" OCCUPATION">
  <pivotTables>
    <pivotTable tabId="7" name="PivotTable4"/>
    <pivotTable tabId="7" name="PivotTable1"/>
    <pivotTable tabId="7" name="PivotTable2"/>
    <pivotTable tabId="7" name="PivotTable3"/>
  </pivotTables>
  <data>
    <tabular pivotCacheId="234207918">
      <items count="2">
        <i x="0" s="1"/>
        <i x="1"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HELPER_YEAR" sourceName="HELPER YEAR">
  <extLst>
    <x:ext xmlns:x15="http://schemas.microsoft.com/office/spreadsheetml/2010/11/main" uri="{2F2917AC-EB37-4324-AD4E-5DD8C200BD13}">
      <x15:tableSlicerCache tableId="2" column="1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HELPER_MONTH" sourceName="HELPER MONTH">
  <extLst>
    <x:ext xmlns:x15="http://schemas.microsoft.com/office/spreadsheetml/2010/11/main" uri="{2F2917AC-EB37-4324-AD4E-5DD8C200BD13}">
      <x15:tableSlicerCache tableId="2" column="1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DDRESS" sourceName="ADDRESS">
  <extLst>
    <x:ext xmlns:x15="http://schemas.microsoft.com/office/spreadsheetml/2010/11/main" uri="{2F2917AC-EB37-4324-AD4E-5DD8C200BD13}">
      <x15:tableSlicerCache tableId="2" column="14"/>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 ISSUED" cache="Slicer_HELPER_YEAR" caption="YEAR ISSUED" columnCount="12" showCaption="0" style="SlicerStyleLight3" lockedPosition="1" rowHeight="144000"/>
  <slicer name="HELPER MONTH" cache="Slicer_HELPER_MONTH" caption="MONTH ISSUED" columnCount="2" style="SlicerStyleOther1" lockedPosition="1" rowHeight="241300"/>
  <slicer name="ADDRESS" cache="Slicer_ADDRESS" caption="ADDRESS" columnCount="2" style="SlicerStyleOther1"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ADDRESS 1" cache="Slicer_ADDRESS1" caption="ADDRESS" style="MSWD_Sidebar" rowHeight="241300"/>
  <slicer name="CIVIL STATUS" cache="Slicer_CIVIL_STATUS" caption="CIVIL STATUS" columnCount="2" style="MSWD_Sidebar" rowHeight="241300"/>
  <slicer name=" OCCUPATION" cache="Slicer_OCCUPATION" caption=" OCCUPATION" style="MSWD_Sidebar" rowHeight="241300"/>
</slicers>
</file>

<file path=xl/tables/table1.xml><?xml version="1.0" encoding="utf-8"?>
<table xmlns="http://schemas.openxmlformats.org/spreadsheetml/2006/main" id="2" name="tblResidents" displayName="tblResidents" ref="A3:O6" totalsRowShown="0" headerRowDxfId="1" dataDxfId="0">
  <autoFilter ref="A3:O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name="ID NO." dataDxfId="16"/>
    <tableColumn id="3" name="SURNAME" dataDxfId="15"/>
    <tableColumn id="4" name="FIRSNAME" dataDxfId="14"/>
    <tableColumn id="5" name="MIDDLENAME" dataDxfId="13"/>
    <tableColumn id="6" name="BIRTHDATE" dataDxfId="12"/>
    <tableColumn id="10" name="AGE" dataDxfId="11">
      <calculatedColumnFormula>DATEDIF(tblResidents[[#This Row],[BIRTHDATE]],TODAY(),"Y")</calculatedColumnFormula>
    </tableColumn>
    <tableColumn id="13" name="CIVIL STATUS" dataDxfId="10"/>
    <tableColumn id="14" name="ADDRESS" dataDxfId="9"/>
    <tableColumn id="15" name="CONTACT NO." dataDxfId="8"/>
    <tableColumn id="8" name="EMERGENCY CONTACT PERSON" dataDxfId="7"/>
    <tableColumn id="9" name="EMERGENCY CONTACT NO." dataDxfId="6"/>
    <tableColumn id="16" name=" OCCUPATION" dataDxfId="5"/>
    <tableColumn id="17" name="DATE ISSUED" dataDxfId="4"/>
    <tableColumn id="11" name="HELPER YEAR" dataDxfId="3">
      <calculatedColumnFormula>YEAR(tblResidents[[#This Row],[DATE ISSUED]])</calculatedColumnFormula>
    </tableColumn>
    <tableColumn id="12" name="HELPER MONTH" dataDxfId="2">
      <calculatedColumnFormula>IF(tblResidents[[#This Row],[DATE ISSUED]]="","",TEXT(tblResidents[[#This Row],[DATE ISSUED]],"mmm"))</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S6"/>
  <sheetViews>
    <sheetView zoomScale="83" zoomScaleNormal="83" workbookViewId="0">
      <pane ySplit="2" topLeftCell="A3" activePane="bottomLeft" state="frozen"/>
      <selection pane="bottomLeft" activeCell="B4" sqref="B4"/>
    </sheetView>
  </sheetViews>
  <sheetFormatPr defaultColWidth="0" defaultRowHeight="15" x14ac:dyDescent="0.25"/>
  <cols>
    <col min="1" max="1" width="9.5703125" style="10" customWidth="1"/>
    <col min="2" max="2" width="26.5703125" style="10" customWidth="1"/>
    <col min="3" max="3" width="19" style="10" customWidth="1"/>
    <col min="4" max="4" width="20.140625" style="10" customWidth="1"/>
    <col min="5" max="5" width="18.140625" style="10" customWidth="1"/>
    <col min="6" max="6" width="4.7109375" style="10" customWidth="1"/>
    <col min="7" max="7" width="12.7109375" style="10" customWidth="1"/>
    <col min="8" max="8" width="13.85546875" style="10" customWidth="1"/>
    <col min="9" max="9" width="13.42578125" style="10" customWidth="1"/>
    <col min="10" max="10" width="29.7109375" style="10" customWidth="1"/>
    <col min="11" max="11" width="25.7109375" style="10" customWidth="1"/>
    <col min="12" max="12" width="13.5703125" style="10" customWidth="1"/>
    <col min="13" max="13" width="14.5703125" style="10" customWidth="1"/>
    <col min="14" max="14" width="14.7109375" style="10" hidden="1" customWidth="1"/>
    <col min="15" max="15" width="17.28515625" style="10" hidden="1" customWidth="1"/>
    <col min="16" max="16" width="9.140625" style="10" customWidth="1"/>
    <col min="17" max="17" width="9" style="10" customWidth="1"/>
    <col min="18" max="19" width="9.140625" style="10" customWidth="1"/>
    <col min="20" max="16384" width="9.140625" style="10" hidden="1"/>
  </cols>
  <sheetData>
    <row r="1" spans="1:19" ht="91.5" customHeight="1" x14ac:dyDescent="0.25">
      <c r="A1" s="15" t="s">
        <v>51</v>
      </c>
      <c r="B1" s="15"/>
      <c r="C1" s="15"/>
      <c r="D1" s="15"/>
      <c r="E1" s="15"/>
      <c r="F1" s="15"/>
      <c r="G1" s="15"/>
      <c r="H1" s="15"/>
      <c r="I1" s="15"/>
      <c r="J1" s="15"/>
      <c r="K1" s="15"/>
      <c r="L1" s="15"/>
      <c r="M1" s="15"/>
      <c r="N1" s="15"/>
      <c r="O1" s="15"/>
      <c r="P1" s="15"/>
      <c r="Q1" s="15"/>
      <c r="R1" s="15"/>
      <c r="S1" s="15"/>
    </row>
    <row r="2" spans="1:19" ht="33" customHeight="1" x14ac:dyDescent="0.25"/>
    <row r="3" spans="1:19" x14ac:dyDescent="0.25">
      <c r="A3" s="10" t="s">
        <v>0</v>
      </c>
      <c r="B3" s="10" t="s">
        <v>1</v>
      </c>
      <c r="C3" s="10" t="s">
        <v>2</v>
      </c>
      <c r="D3" s="10" t="s">
        <v>3</v>
      </c>
      <c r="E3" s="10" t="s">
        <v>4</v>
      </c>
      <c r="F3" s="10" t="s">
        <v>50</v>
      </c>
      <c r="G3" s="10" t="s">
        <v>54</v>
      </c>
      <c r="H3" s="10" t="s">
        <v>55</v>
      </c>
      <c r="I3" s="10" t="s">
        <v>7</v>
      </c>
      <c r="J3" s="10" t="s">
        <v>6</v>
      </c>
      <c r="K3" s="11" t="s">
        <v>56</v>
      </c>
      <c r="L3" s="11" t="s">
        <v>57</v>
      </c>
      <c r="M3" s="11" t="s">
        <v>5</v>
      </c>
      <c r="N3" s="10" t="s">
        <v>52</v>
      </c>
      <c r="O3" s="10" t="s">
        <v>53</v>
      </c>
    </row>
    <row r="4" spans="1:19" x14ac:dyDescent="0.25">
      <c r="A4" s="12" t="s">
        <v>73</v>
      </c>
      <c r="B4" s="12" t="s">
        <v>45</v>
      </c>
      <c r="C4" s="12" t="s">
        <v>46</v>
      </c>
      <c r="D4" s="12" t="s">
        <v>47</v>
      </c>
      <c r="E4" s="13">
        <v>36510</v>
      </c>
      <c r="F4" s="12">
        <f ca="1">DATEDIF(tblResidents[[#This Row],[BIRTHDATE]],TODAY(),"Y")</f>
        <v>26</v>
      </c>
      <c r="G4" s="12" t="s">
        <v>58</v>
      </c>
      <c r="H4" s="12" t="s">
        <v>27</v>
      </c>
      <c r="I4" s="12">
        <v>9186519102</v>
      </c>
      <c r="J4" s="12" t="s">
        <v>48</v>
      </c>
      <c r="K4" s="14" t="s">
        <v>49</v>
      </c>
      <c r="L4" s="14" t="s">
        <v>59</v>
      </c>
      <c r="M4" s="13">
        <v>46092</v>
      </c>
      <c r="N4" s="12">
        <f>YEAR(tblResidents[[#This Row],[DATE ISSUED]])</f>
        <v>2026</v>
      </c>
      <c r="O4" s="12" t="str">
        <f>IF(tblResidents[[#This Row],[DATE ISSUED]]="","",TEXT(tblResidents[[#This Row],[DATE ISSUED]],"mmm"))</f>
        <v>Mar</v>
      </c>
    </row>
    <row r="5" spans="1:19" x14ac:dyDescent="0.25">
      <c r="A5" s="12" t="s">
        <v>74</v>
      </c>
      <c r="B5" s="12" t="s">
        <v>75</v>
      </c>
      <c r="C5" s="12" t="s">
        <v>76</v>
      </c>
      <c r="D5" s="12" t="s">
        <v>45</v>
      </c>
      <c r="E5" s="13">
        <v>38295</v>
      </c>
      <c r="F5" s="12">
        <f ca="1">DATEDIF(tblResidents[[#This Row],[BIRTHDATE]],TODAY(),"Y")</f>
        <v>21</v>
      </c>
      <c r="G5" s="12" t="s">
        <v>60</v>
      </c>
      <c r="H5" s="12" t="s">
        <v>67</v>
      </c>
      <c r="I5" s="12"/>
      <c r="J5" s="12"/>
      <c r="K5" s="14"/>
      <c r="L5" s="14" t="s">
        <v>86</v>
      </c>
      <c r="M5" s="13">
        <v>46156</v>
      </c>
      <c r="N5" s="12">
        <f>YEAR(tblResidents[[#This Row],[DATE ISSUED]])</f>
        <v>2026</v>
      </c>
      <c r="O5" s="12" t="str">
        <f>IF(tblResidents[[#This Row],[DATE ISSUED]]="","",TEXT(tblResidents[[#This Row],[DATE ISSUED]],"mmm"))</f>
        <v>May</v>
      </c>
    </row>
    <row r="6" spans="1:19" x14ac:dyDescent="0.25">
      <c r="A6" s="12" t="s">
        <v>90</v>
      </c>
      <c r="B6" s="12" t="s">
        <v>91</v>
      </c>
      <c r="C6" s="12" t="s">
        <v>92</v>
      </c>
      <c r="D6" s="12"/>
      <c r="E6" s="13">
        <v>38172</v>
      </c>
      <c r="F6" s="12">
        <f ca="1">DATEDIF(tblResidents[[#This Row],[BIRTHDATE]],TODAY(),"Y")</f>
        <v>22</v>
      </c>
      <c r="G6" s="12" t="s">
        <v>58</v>
      </c>
      <c r="H6" s="12" t="s">
        <v>25</v>
      </c>
      <c r="I6" s="12">
        <v>9264469102</v>
      </c>
      <c r="J6" s="12"/>
      <c r="K6" s="14"/>
      <c r="L6" s="14" t="s">
        <v>59</v>
      </c>
      <c r="M6" s="13">
        <v>46160</v>
      </c>
      <c r="N6" s="12">
        <f>YEAR(tblResidents[[#This Row],[DATE ISSUED]])</f>
        <v>2026</v>
      </c>
      <c r="O6" s="12" t="str">
        <f>IF(tblResidents[[#This Row],[DATE ISSUED]]="","",TEXT(tblResidents[[#This Row],[DATE ISSUED]],"mmm"))</f>
        <v>May</v>
      </c>
    </row>
  </sheetData>
  <sheetProtection algorithmName="SHA-512" hashValue="mxMCVT1fu1S3MgYNwDdLFPfFQcZh+NUo1uzLTzaGczCuvYMNUxnx6JvQQeruzemKbVDKjrcQEU2aMP3X01rj/Q==" saltValue="ovCzJ3MMBs3cUmds5/473Q==" spinCount="100000" sheet="1" objects="1" scenarios="1" sort="0" autoFilter="0" pivotTables="0"/>
  <mergeCells count="1">
    <mergeCell ref="A1:S1"/>
  </mergeCells>
  <pageMargins left="0.70866141732283472" right="0.70866141732283472" top="0.74803149606299213" bottom="0.74803149606299213" header="0.31496062992125984" footer="0.31496062992125984"/>
  <pageSetup paperSize="9" orientation="portrait" horizontalDpi="360" verticalDpi="360" r:id="rId1"/>
  <headerFooter>
    <oddHeader>&amp;L&amp;G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ShowResidentForm">
                <anchor moveWithCells="1">
                  <from>
                    <xdr:col>0</xdr:col>
                    <xdr:colOff>19050</xdr:colOff>
                    <xdr:row>1</xdr:row>
                    <xdr:rowOff>19050</xdr:rowOff>
                  </from>
                  <to>
                    <xdr:col>1</xdr:col>
                    <xdr:colOff>752475</xdr:colOff>
                    <xdr:row>1</xdr:row>
                    <xdr:rowOff>390525</xdr:rowOff>
                  </to>
                </anchor>
              </controlPr>
            </control>
          </mc:Choice>
        </mc:AlternateContent>
        <mc:AlternateContent xmlns:mc="http://schemas.openxmlformats.org/markup-compatibility/2006">
          <mc:Choice Requires="x14">
            <control shapeId="1027" r:id="rId6" name="Button 3">
              <controlPr defaultSize="0" print="0" autoFill="0" autoPict="0" macro="[0]!ClearAllSlicers">
                <anchor moveWithCells="1">
                  <from>
                    <xdr:col>11</xdr:col>
                    <xdr:colOff>514350</xdr:colOff>
                    <xdr:row>1</xdr:row>
                    <xdr:rowOff>38100</xdr:rowOff>
                  </from>
                  <to>
                    <xdr:col>13</xdr:col>
                    <xdr:colOff>0</xdr:colOff>
                    <xdr:row>1</xdr:row>
                    <xdr:rowOff>352425</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AL20" sqref="AL20"/>
    </sheetView>
  </sheetViews>
  <sheetFormatPr defaultColWidth="3.28515625" defaultRowHeight="15" customHeight="1" x14ac:dyDescent="0.25"/>
  <cols>
    <col min="1" max="80" width="3.28515625" customWidth="1"/>
  </cols>
  <sheetData/>
  <pageMargins left="0.1" right="0.1" top="0.1" bottom="0.1" header="0" footer="0"/>
  <pageSetup paperSize="9" fitToHeight="0" orientation="portrait" horizontalDpi="360" verticalDpi="36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BH27" sqref="BH27"/>
    </sheetView>
  </sheetViews>
  <sheetFormatPr defaultColWidth="3.28515625" defaultRowHeight="15" customHeight="1" x14ac:dyDescent="0.25"/>
  <cols>
    <col min="1" max="80" width="3.28515625" customWidth="1"/>
  </cols>
  <sheetData/>
  <pageMargins left="0.1" right="0.1" top="0.1" bottom="0.1" header="0" footer="0"/>
  <pageSetup paperSize="9" fitToWidth="0" fitToHeight="0" orientation="portrait" horizontalDpi="360" verticalDpi="36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10"/>
  <sheetViews>
    <sheetView workbookViewId="0">
      <selection activeCell="I1" sqref="I1:I1048576"/>
    </sheetView>
  </sheetViews>
  <sheetFormatPr defaultRowHeight="15" x14ac:dyDescent="0.25"/>
  <cols>
    <col min="1" max="1" width="13.140625" bestFit="1" customWidth="1"/>
    <col min="2" max="2" width="14.85546875" bestFit="1" customWidth="1"/>
    <col min="5" max="5" width="14.85546875" bestFit="1" customWidth="1"/>
    <col min="6" max="6" width="16.28515625" bestFit="1" customWidth="1"/>
    <col min="7" max="9" width="11.28515625" bestFit="1" customWidth="1"/>
    <col min="10" max="10" width="33.5703125" bestFit="1" customWidth="1"/>
    <col min="11" max="11" width="24.85546875" bestFit="1" customWidth="1"/>
    <col min="12" max="12" width="33.140625" bestFit="1" customWidth="1"/>
    <col min="17" max="17" width="13.140625" bestFit="1" customWidth="1"/>
    <col min="18" max="18" width="14.85546875" bestFit="1" customWidth="1"/>
  </cols>
  <sheetData>
    <row r="1" spans="1:18" x14ac:dyDescent="0.25">
      <c r="K1" s="1" t="s">
        <v>56</v>
      </c>
      <c r="L1" t="s">
        <v>94</v>
      </c>
    </row>
    <row r="3" spans="1:18" x14ac:dyDescent="0.25">
      <c r="A3" s="1" t="s">
        <v>78</v>
      </c>
      <c r="B3" t="s">
        <v>77</v>
      </c>
      <c r="E3" s="1" t="s">
        <v>77</v>
      </c>
      <c r="F3" s="1" t="s">
        <v>81</v>
      </c>
      <c r="K3" s="1" t="s">
        <v>78</v>
      </c>
      <c r="L3" t="s">
        <v>82</v>
      </c>
      <c r="Q3" s="1" t="s">
        <v>78</v>
      </c>
      <c r="R3" t="s">
        <v>77</v>
      </c>
    </row>
    <row r="4" spans="1:18" x14ac:dyDescent="0.25">
      <c r="A4" s="2" t="s">
        <v>27</v>
      </c>
      <c r="B4">
        <v>1</v>
      </c>
      <c r="E4" s="1" t="s">
        <v>78</v>
      </c>
      <c r="F4" t="s">
        <v>59</v>
      </c>
      <c r="G4" t="s">
        <v>79</v>
      </c>
      <c r="K4" s="2" t="s">
        <v>91</v>
      </c>
      <c r="Q4" s="2" t="s">
        <v>58</v>
      </c>
      <c r="R4">
        <v>2</v>
      </c>
    </row>
    <row r="5" spans="1:18" x14ac:dyDescent="0.25">
      <c r="A5" s="2" t="s">
        <v>25</v>
      </c>
      <c r="B5">
        <v>1</v>
      </c>
      <c r="E5" s="2" t="s">
        <v>80</v>
      </c>
      <c r="F5">
        <v>2</v>
      </c>
      <c r="G5">
        <v>2</v>
      </c>
      <c r="K5" s="3" t="s">
        <v>92</v>
      </c>
      <c r="Q5" s="2" t="s">
        <v>79</v>
      </c>
      <c r="R5">
        <v>2</v>
      </c>
    </row>
    <row r="6" spans="1:18" x14ac:dyDescent="0.25">
      <c r="A6" s="2" t="s">
        <v>79</v>
      </c>
      <c r="B6">
        <v>2</v>
      </c>
      <c r="E6" s="2" t="s">
        <v>79</v>
      </c>
      <c r="F6">
        <v>2</v>
      </c>
      <c r="G6">
        <v>2</v>
      </c>
      <c r="K6" s="4" t="s">
        <v>25</v>
      </c>
    </row>
    <row r="7" spans="1:18" x14ac:dyDescent="0.25">
      <c r="K7" s="2" t="s">
        <v>45</v>
      </c>
      <c r="L7">
        <v>1</v>
      </c>
    </row>
    <row r="8" spans="1:18" x14ac:dyDescent="0.25">
      <c r="K8" s="3" t="s">
        <v>46</v>
      </c>
      <c r="L8">
        <v>1</v>
      </c>
    </row>
    <row r="9" spans="1:18" x14ac:dyDescent="0.25">
      <c r="K9" s="4" t="s">
        <v>27</v>
      </c>
      <c r="L9">
        <v>1</v>
      </c>
    </row>
    <row r="10" spans="1:18" x14ac:dyDescent="0.25">
      <c r="K10" s="2" t="s">
        <v>79</v>
      </c>
      <c r="L10">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50"/>
  <sheetViews>
    <sheetView showGridLines="0" showRowColHeaders="0" tabSelected="1" zoomScale="130" zoomScaleNormal="130" workbookViewId="0">
      <selection activeCell="D11" sqref="D11"/>
    </sheetView>
  </sheetViews>
  <sheetFormatPr defaultColWidth="0" defaultRowHeight="15" zeroHeight="1" x14ac:dyDescent="0.25"/>
  <cols>
    <col min="1" max="1" width="3.7109375" customWidth="1"/>
    <col min="2" max="13" width="11.7109375" customWidth="1"/>
    <col min="14" max="14" width="9.140625" customWidth="1"/>
    <col min="15" max="16384" width="9.140625" hidden="1"/>
  </cols>
  <sheetData>
    <row r="1" spans="2:13" x14ac:dyDescent="0.25"/>
    <row r="2" spans="2:13" x14ac:dyDescent="0.25">
      <c r="B2" s="16" t="s">
        <v>83</v>
      </c>
      <c r="C2" s="16"/>
      <c r="D2" s="16"/>
      <c r="E2" s="16"/>
      <c r="F2" s="16"/>
      <c r="G2" s="16"/>
      <c r="H2" s="16"/>
      <c r="I2" s="16"/>
      <c r="J2" s="16"/>
      <c r="K2" s="16"/>
      <c r="L2" s="16"/>
      <c r="M2" s="16"/>
    </row>
    <row r="3" spans="2:13" x14ac:dyDescent="0.25">
      <c r="B3" s="16"/>
      <c r="C3" s="16"/>
      <c r="D3" s="16"/>
      <c r="E3" s="16"/>
      <c r="F3" s="16"/>
      <c r="G3" s="16"/>
      <c r="H3" s="16"/>
      <c r="I3" s="16"/>
      <c r="J3" s="16"/>
      <c r="K3" s="16"/>
      <c r="L3" s="16"/>
      <c r="M3" s="16"/>
    </row>
    <row r="4" spans="2:13" x14ac:dyDescent="0.25">
      <c r="B4" s="16"/>
      <c r="C4" s="16"/>
      <c r="D4" s="16"/>
      <c r="E4" s="16"/>
      <c r="F4" s="16"/>
      <c r="G4" s="16"/>
      <c r="H4" s="16"/>
      <c r="I4" s="16"/>
      <c r="J4" s="16"/>
      <c r="K4" s="16"/>
      <c r="L4" s="16"/>
      <c r="M4" s="16"/>
    </row>
    <row r="5" spans="2:13" x14ac:dyDescent="0.25"/>
    <row r="6" spans="2:13" x14ac:dyDescent="0.25">
      <c r="B6" s="20" t="s">
        <v>84</v>
      </c>
      <c r="C6" s="20"/>
      <c r="E6" s="17" t="s">
        <v>93</v>
      </c>
      <c r="F6" s="17"/>
      <c r="H6" s="17" t="s">
        <v>87</v>
      </c>
      <c r="I6" s="17"/>
      <c r="K6" s="17" t="s">
        <v>85</v>
      </c>
      <c r="L6" s="17"/>
    </row>
    <row r="7" spans="2:13" x14ac:dyDescent="0.25">
      <c r="B7" s="6"/>
      <c r="C7" s="6"/>
      <c r="E7" s="18">
        <f>GETPIVOTDATA("ID NO.",Dashboard_Engine!$A$3)</f>
        <v>2</v>
      </c>
      <c r="F7" s="18"/>
      <c r="H7" s="19">
        <f>(COUNTIF(tblResidents[[ OCCUPATION]], "NONE") + COUNTIF(tblResidents[[ OCCUPATION]], "")) / COUNTA(tblResidents[ID NO.])</f>
        <v>0.66666666666666663</v>
      </c>
      <c r="I7" s="19"/>
      <c r="K7" s="19">
        <f>COUNTA(tblResidents[EMERGENCY CONTACT NO.]) / COUNTA(tblResidents[ID NO.])</f>
        <v>0.33333333333333331</v>
      </c>
      <c r="L7" s="19"/>
    </row>
    <row r="8" spans="2:13" x14ac:dyDescent="0.25">
      <c r="B8" s="6"/>
      <c r="C8" s="6"/>
      <c r="E8" s="18"/>
      <c r="F8" s="18"/>
      <c r="H8" s="19"/>
      <c r="I8" s="19"/>
      <c r="K8" s="19"/>
      <c r="L8" s="19"/>
    </row>
    <row r="9" spans="2:13" x14ac:dyDescent="0.25">
      <c r="B9" s="6"/>
      <c r="C9" s="6"/>
      <c r="I9" s="5"/>
    </row>
    <row r="10" spans="2:13" x14ac:dyDescent="0.25">
      <c r="B10" s="6"/>
      <c r="C10" s="6"/>
    </row>
    <row r="11" spans="2:13" x14ac:dyDescent="0.25">
      <c r="B11" s="6"/>
      <c r="C11" s="6"/>
    </row>
    <row r="12" spans="2:13" x14ac:dyDescent="0.25">
      <c r="B12" s="6"/>
      <c r="C12" s="6"/>
    </row>
    <row r="13" spans="2:13" x14ac:dyDescent="0.25">
      <c r="B13" s="6"/>
      <c r="C13" s="6"/>
    </row>
    <row r="14" spans="2:13" x14ac:dyDescent="0.25">
      <c r="B14" s="6"/>
      <c r="C14" s="6"/>
    </row>
    <row r="15" spans="2:13" x14ac:dyDescent="0.25">
      <c r="B15" s="6"/>
      <c r="C15" s="6"/>
    </row>
    <row r="16" spans="2:13" x14ac:dyDescent="0.25">
      <c r="B16" s="6"/>
      <c r="C16" s="6"/>
    </row>
    <row r="17" spans="2:3" x14ac:dyDescent="0.25">
      <c r="B17" s="6"/>
      <c r="C17" s="6"/>
    </row>
    <row r="18" spans="2:3" x14ac:dyDescent="0.25">
      <c r="B18" s="6"/>
      <c r="C18" s="6"/>
    </row>
    <row r="19" spans="2:3" x14ac:dyDescent="0.25">
      <c r="B19" s="6"/>
      <c r="C19" s="6"/>
    </row>
    <row r="20" spans="2:3" x14ac:dyDescent="0.25">
      <c r="B20" s="6"/>
      <c r="C20" s="6"/>
    </row>
    <row r="21" spans="2:3" x14ac:dyDescent="0.25">
      <c r="B21" s="6"/>
      <c r="C21" s="6"/>
    </row>
    <row r="22" spans="2:3" x14ac:dyDescent="0.25">
      <c r="B22" s="6"/>
      <c r="C22" s="6"/>
    </row>
    <row r="23" spans="2:3" x14ac:dyDescent="0.25">
      <c r="B23" s="6"/>
      <c r="C23" s="6"/>
    </row>
    <row r="24" spans="2:3" x14ac:dyDescent="0.25">
      <c r="B24" s="6"/>
      <c r="C24" s="6"/>
    </row>
    <row r="25" spans="2:3" x14ac:dyDescent="0.25">
      <c r="B25" s="6"/>
      <c r="C25" s="6"/>
    </row>
    <row r="26" spans="2:3" x14ac:dyDescent="0.25">
      <c r="B26" s="6"/>
      <c r="C26" s="6"/>
    </row>
    <row r="27" spans="2:3" x14ac:dyDescent="0.25">
      <c r="B27" s="6"/>
      <c r="C27" s="6"/>
    </row>
    <row r="28" spans="2:3" x14ac:dyDescent="0.25">
      <c r="B28" s="6"/>
      <c r="C28" s="6"/>
    </row>
    <row r="29" spans="2:3" x14ac:dyDescent="0.25">
      <c r="B29" s="6"/>
      <c r="C29" s="6"/>
    </row>
    <row r="30" spans="2:3" x14ac:dyDescent="0.25">
      <c r="B30" s="6"/>
      <c r="C30" s="6"/>
    </row>
    <row r="31" spans="2:3" x14ac:dyDescent="0.25">
      <c r="B31" s="6"/>
      <c r="C31" s="6"/>
    </row>
    <row r="32" spans="2:3" x14ac:dyDescent="0.25">
      <c r="B32" s="6"/>
      <c r="C32" s="6"/>
    </row>
    <row r="33" spans="2:9" x14ac:dyDescent="0.25">
      <c r="B33" s="6"/>
      <c r="C33" s="6"/>
    </row>
    <row r="34" spans="2:9" x14ac:dyDescent="0.25">
      <c r="B34" s="6"/>
      <c r="C34" s="6"/>
    </row>
    <row r="35" spans="2:9" x14ac:dyDescent="0.25">
      <c r="B35" s="6"/>
      <c r="C35" s="6"/>
    </row>
    <row r="36" spans="2:9" x14ac:dyDescent="0.25">
      <c r="E36" s="7" t="s">
        <v>0</v>
      </c>
      <c r="F36" s="7" t="s">
        <v>88</v>
      </c>
      <c r="G36" s="7" t="s">
        <v>55</v>
      </c>
      <c r="H36" s="8" t="s">
        <v>89</v>
      </c>
      <c r="I36" s="8"/>
    </row>
    <row r="37" spans="2:9" x14ac:dyDescent="0.25">
      <c r="E37" t="str" cm="1">
        <f t="array" ref="E37:G38">_xlfn._xlws.FILTER(INDEX(tblResidents[], _xlfn.SEQUENCE(ROWS(tblResidents[])), {1,2,8}), tblResidents[EMERGENCY CONTACT NO.]="", "Database Healthy")</f>
        <v>2026-07</v>
      </c>
      <c r="F37" t="str">
        <v>ALMARIO</v>
      </c>
      <c r="G37" t="str">
        <v>Brgy. 7</v>
      </c>
      <c r="H37" t="str">
        <f>IF(OR(E37="", E37="Database Healthy"), "", "MISSING CONTACT")</f>
        <v>MISSING CONTACT</v>
      </c>
    </row>
    <row r="38" spans="2:9" x14ac:dyDescent="0.25">
      <c r="E38" t="str">
        <v>2026-08</v>
      </c>
      <c r="F38" t="str">
        <v>BAHIA</v>
      </c>
      <c r="G38" t="str">
        <v>Lanatan</v>
      </c>
      <c r="H38" t="str">
        <f t="shared" ref="H38:H46" si="0">IF(OR(E38="", E38="Database Healthy"), "", "MISSING CONTACT")</f>
        <v>MISSING CONTACT</v>
      </c>
    </row>
    <row r="39" spans="2:9" x14ac:dyDescent="0.25">
      <c r="H39" t="str">
        <f t="shared" si="0"/>
        <v/>
      </c>
    </row>
    <row r="40" spans="2:9" x14ac:dyDescent="0.25">
      <c r="H40" t="str">
        <f t="shared" si="0"/>
        <v/>
      </c>
      <c r="I40" s="9"/>
    </row>
    <row r="41" spans="2:9" x14ac:dyDescent="0.25">
      <c r="H41" t="str">
        <f t="shared" si="0"/>
        <v/>
      </c>
    </row>
    <row r="42" spans="2:9" x14ac:dyDescent="0.25">
      <c r="H42" t="str">
        <f t="shared" si="0"/>
        <v/>
      </c>
    </row>
    <row r="43" spans="2:9" x14ac:dyDescent="0.25">
      <c r="H43" t="str">
        <f t="shared" si="0"/>
        <v/>
      </c>
    </row>
    <row r="44" spans="2:9" x14ac:dyDescent="0.25">
      <c r="H44" t="str">
        <f t="shared" si="0"/>
        <v/>
      </c>
    </row>
    <row r="45" spans="2:9" x14ac:dyDescent="0.25">
      <c r="H45" t="str">
        <f t="shared" si="0"/>
        <v/>
      </c>
    </row>
    <row r="46" spans="2:9" x14ac:dyDescent="0.25">
      <c r="H46" t="str">
        <f t="shared" si="0"/>
        <v/>
      </c>
    </row>
    <row r="47" spans="2:9" x14ac:dyDescent="0.25"/>
    <row r="48" spans="2:9" x14ac:dyDescent="0.25"/>
    <row r="49" x14ac:dyDescent="0.25"/>
    <row r="50" x14ac:dyDescent="0.25"/>
  </sheetData>
  <mergeCells count="8">
    <mergeCell ref="B2:M4"/>
    <mergeCell ref="E6:F6"/>
    <mergeCell ref="E7:F8"/>
    <mergeCell ref="H6:I6"/>
    <mergeCell ref="H7:I8"/>
    <mergeCell ref="K6:L6"/>
    <mergeCell ref="K7:L8"/>
    <mergeCell ref="B6:C6"/>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49"/>
  <sheetViews>
    <sheetView workbookViewId="0">
      <selection activeCell="C13" sqref="C13"/>
    </sheetView>
  </sheetViews>
  <sheetFormatPr defaultRowHeight="15" x14ac:dyDescent="0.25"/>
  <sheetData>
    <row r="1" spans="1:1" x14ac:dyDescent="0.25">
      <c r="A1" t="s">
        <v>8</v>
      </c>
    </row>
    <row r="2" spans="1:1" x14ac:dyDescent="0.25">
      <c r="A2" t="s">
        <v>9</v>
      </c>
    </row>
    <row r="3" spans="1:1" x14ac:dyDescent="0.25">
      <c r="A3" t="s">
        <v>61</v>
      </c>
    </row>
    <row r="4" spans="1:1" x14ac:dyDescent="0.25">
      <c r="A4" t="s">
        <v>62</v>
      </c>
    </row>
    <row r="5" spans="1:1" x14ac:dyDescent="0.25">
      <c r="A5" t="s">
        <v>63</v>
      </c>
    </row>
    <row r="6" spans="1:1" x14ac:dyDescent="0.25">
      <c r="A6" t="s">
        <v>64</v>
      </c>
    </row>
    <row r="7" spans="1:1" x14ac:dyDescent="0.25">
      <c r="A7" t="s">
        <v>65</v>
      </c>
    </row>
    <row r="8" spans="1:1" x14ac:dyDescent="0.25">
      <c r="A8" t="s">
        <v>66</v>
      </c>
    </row>
    <row r="9" spans="1:1" x14ac:dyDescent="0.25">
      <c r="A9" t="s">
        <v>67</v>
      </c>
    </row>
    <row r="10" spans="1:1" x14ac:dyDescent="0.25">
      <c r="A10" t="s">
        <v>68</v>
      </c>
    </row>
    <row r="11" spans="1:1" x14ac:dyDescent="0.25">
      <c r="A11" t="s">
        <v>69</v>
      </c>
    </row>
    <row r="12" spans="1:1" x14ac:dyDescent="0.25">
      <c r="A12" t="s">
        <v>70</v>
      </c>
    </row>
    <row r="13" spans="1:1" x14ac:dyDescent="0.25">
      <c r="A13" t="s">
        <v>71</v>
      </c>
    </row>
    <row r="14" spans="1:1" x14ac:dyDescent="0.25">
      <c r="A14" t="s">
        <v>72</v>
      </c>
    </row>
    <row r="15" spans="1:1" x14ac:dyDescent="0.25">
      <c r="A15" t="s">
        <v>10</v>
      </c>
    </row>
    <row r="16" spans="1:1" x14ac:dyDescent="0.25">
      <c r="A16" t="s">
        <v>11</v>
      </c>
    </row>
    <row r="17" spans="1:1" x14ac:dyDescent="0.25">
      <c r="A17" t="s">
        <v>12</v>
      </c>
    </row>
    <row r="18" spans="1:1" x14ac:dyDescent="0.25">
      <c r="A18" t="s">
        <v>13</v>
      </c>
    </row>
    <row r="19" spans="1:1" x14ac:dyDescent="0.25">
      <c r="A19" t="s">
        <v>14</v>
      </c>
    </row>
    <row r="20" spans="1:1" x14ac:dyDescent="0.25">
      <c r="A20" t="s">
        <v>15</v>
      </c>
    </row>
    <row r="21" spans="1:1" x14ac:dyDescent="0.25">
      <c r="A21" t="s">
        <v>16</v>
      </c>
    </row>
    <row r="22" spans="1:1" x14ac:dyDescent="0.25">
      <c r="A22" t="s">
        <v>17</v>
      </c>
    </row>
    <row r="23" spans="1:1" x14ac:dyDescent="0.25">
      <c r="A23" t="s">
        <v>18</v>
      </c>
    </row>
    <row r="24" spans="1:1" x14ac:dyDescent="0.25">
      <c r="A24" t="s">
        <v>19</v>
      </c>
    </row>
    <row r="25" spans="1:1" x14ac:dyDescent="0.25">
      <c r="A25" t="s">
        <v>20</v>
      </c>
    </row>
    <row r="26" spans="1:1" x14ac:dyDescent="0.25">
      <c r="A26" t="s">
        <v>21</v>
      </c>
    </row>
    <row r="27" spans="1:1" x14ac:dyDescent="0.25">
      <c r="A27" t="s">
        <v>22</v>
      </c>
    </row>
    <row r="28" spans="1:1" x14ac:dyDescent="0.25">
      <c r="A28" t="s">
        <v>23</v>
      </c>
    </row>
    <row r="29" spans="1:1" x14ac:dyDescent="0.25">
      <c r="A29" t="s">
        <v>24</v>
      </c>
    </row>
    <row r="30" spans="1:1" x14ac:dyDescent="0.25">
      <c r="A30" t="s">
        <v>25</v>
      </c>
    </row>
    <row r="31" spans="1:1" x14ac:dyDescent="0.25">
      <c r="A31" t="s">
        <v>26</v>
      </c>
    </row>
    <row r="32" spans="1:1" x14ac:dyDescent="0.25">
      <c r="A32" t="s">
        <v>27</v>
      </c>
    </row>
    <row r="33" spans="1:1" x14ac:dyDescent="0.25">
      <c r="A33" t="s">
        <v>28</v>
      </c>
    </row>
    <row r="34" spans="1:1" x14ac:dyDescent="0.25">
      <c r="A34" t="s">
        <v>29</v>
      </c>
    </row>
    <row r="35" spans="1:1" x14ac:dyDescent="0.25">
      <c r="A35" t="s">
        <v>30</v>
      </c>
    </row>
    <row r="36" spans="1:1" x14ac:dyDescent="0.25">
      <c r="A36" t="s">
        <v>31</v>
      </c>
    </row>
    <row r="37" spans="1:1" x14ac:dyDescent="0.25">
      <c r="A37" t="s">
        <v>32</v>
      </c>
    </row>
    <row r="38" spans="1:1" x14ac:dyDescent="0.25">
      <c r="A38" t="s">
        <v>33</v>
      </c>
    </row>
    <row r="39" spans="1:1" x14ac:dyDescent="0.25">
      <c r="A39" t="s">
        <v>34</v>
      </c>
    </row>
    <row r="40" spans="1:1" x14ac:dyDescent="0.25">
      <c r="A40" t="s">
        <v>35</v>
      </c>
    </row>
    <row r="41" spans="1:1" x14ac:dyDescent="0.25">
      <c r="A41" t="s">
        <v>36</v>
      </c>
    </row>
    <row r="42" spans="1:1" x14ac:dyDescent="0.25">
      <c r="A42" t="s">
        <v>37</v>
      </c>
    </row>
    <row r="43" spans="1:1" x14ac:dyDescent="0.25">
      <c r="A43" t="s">
        <v>38</v>
      </c>
    </row>
    <row r="44" spans="1:1" x14ac:dyDescent="0.25">
      <c r="A44" t="s">
        <v>39</v>
      </c>
    </row>
    <row r="45" spans="1:1" x14ac:dyDescent="0.25">
      <c r="A45" t="s">
        <v>40</v>
      </c>
    </row>
    <row r="46" spans="1:1" x14ac:dyDescent="0.25">
      <c r="A46" t="s">
        <v>41</v>
      </c>
    </row>
    <row r="47" spans="1:1" x14ac:dyDescent="0.25">
      <c r="A47" t="s">
        <v>42</v>
      </c>
    </row>
    <row r="48" spans="1:1" x14ac:dyDescent="0.25">
      <c r="A48" t="s">
        <v>43</v>
      </c>
    </row>
    <row r="49" spans="1:1" x14ac:dyDescent="0.25">
      <c r="A49" t="s">
        <v>44</v>
      </c>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Sheet1</vt:lpstr>
      <vt:lpstr>PRINT_FRONT</vt:lpstr>
      <vt:lpstr>PRINT_BACK</vt:lpstr>
      <vt:lpstr>Dashboard_Engine</vt:lpstr>
      <vt:lpstr>DASHBOARD</vt:lpstr>
      <vt:lpstr>Lists</vt:lpstr>
      <vt:lpstr>PRINT_BACK!Print_Area</vt:lpstr>
      <vt:lpstr>PRINT_FRONT!Print_Area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Jay Ramirez</cp:lastModifiedBy>
  <cp:lastPrinted>2026-05-13T18:31:12Z</cp:lastPrinted>
  <dcterms:created xsi:type="dcterms:W3CDTF">2026-03-03T02:18:08Z</dcterms:created>
  <dcterms:modified xsi:type="dcterms:W3CDTF">2026-07-15T16:51:12Z</dcterms:modified>
</cp:coreProperties>
</file>